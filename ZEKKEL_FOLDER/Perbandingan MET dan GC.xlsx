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mxi\Documents\Zeta_Edit\"/>
    </mc:Choice>
  </mc:AlternateContent>
  <xr:revisionPtr revIDLastSave="0" documentId="13_ncr:1_{A78E2B26-B805-4267-9F48-161722BA42F2}" xr6:coauthVersionLast="47" xr6:coauthVersionMax="47" xr10:uidLastSave="{00000000-0000-0000-0000-000000000000}"/>
  <bookViews>
    <workbookView xWindow="-108" yWindow="-108" windowWidth="30936" windowHeight="16776" xr2:uid="{EAFAAD87-7D79-43BE-9231-43EB0D3FD6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13" i="1" l="1"/>
  <c r="K24" i="1" s="1"/>
  <c r="K23" i="1"/>
  <c r="K19" i="1"/>
  <c r="K18" i="1"/>
  <c r="K17" i="1"/>
  <c r="K16" i="1"/>
  <c r="K15" i="1"/>
  <c r="K14" i="1"/>
  <c r="K9" i="1"/>
  <c r="K8" i="1"/>
  <c r="K7" i="1"/>
  <c r="K6" i="1"/>
  <c r="K5" i="1"/>
  <c r="K4" i="1"/>
  <c r="K3" i="1"/>
</calcChain>
</file>

<file path=xl/sharedStrings.xml><?xml version="1.0" encoding="utf-8"?>
<sst xmlns="http://schemas.openxmlformats.org/spreadsheetml/2006/main" count="518" uniqueCount="272">
  <si>
    <t>Assay Lab Result</t>
  </si>
  <si>
    <t>No</t>
  </si>
  <si>
    <t>Id Sampel</t>
  </si>
  <si>
    <t>Date</t>
  </si>
  <si>
    <t>Au (g/t)</t>
  </si>
  <si>
    <t>Ag (g/t)</t>
  </si>
  <si>
    <t>Cu (g/t)</t>
  </si>
  <si>
    <t>SR COM 24/06/2026 1</t>
  </si>
  <si>
    <t>SR COM 24/06/2026 2</t>
  </si>
  <si>
    <t>SR COM 24/06/2026 3</t>
  </si>
  <si>
    <t>SR COM 24/06/2026 4</t>
  </si>
  <si>
    <t>SR COM 24/06/2026 5</t>
  </si>
  <si>
    <t>SR COM 24/06/2026 6</t>
  </si>
  <si>
    <t>SR COM 24/06/2026 7</t>
  </si>
  <si>
    <t>SR COM 24/06/2026 8</t>
  </si>
  <si>
    <t>SR COM 24/06/2026 9</t>
  </si>
  <si>
    <t>SR COM 24/06/2026 10</t>
  </si>
  <si>
    <t>Clay and Sandly 1</t>
  </si>
  <si>
    <t>Clay and Sandly 2</t>
  </si>
  <si>
    <t>Clay and Sandly 3</t>
  </si>
  <si>
    <t>Clay and Sandly 4</t>
  </si>
  <si>
    <t>Clay and Sandly 5</t>
  </si>
  <si>
    <t>Crusher DS 1</t>
  </si>
  <si>
    <t>Crusher DS 2</t>
  </si>
  <si>
    <t>Crusher DS 3</t>
  </si>
  <si>
    <t>Crusher DS 4</t>
  </si>
  <si>
    <t>Crusher DS 5</t>
  </si>
  <si>
    <t>Crusher DS 6</t>
  </si>
  <si>
    <t>Crusher DS 7</t>
  </si>
  <si>
    <t>Crusher DS 8</t>
  </si>
  <si>
    <t>Crusher DS 9</t>
  </si>
  <si>
    <t>Crusher DS 10</t>
  </si>
  <si>
    <t>SR_1 Composite</t>
  </si>
  <si>
    <t>SR_1 Rock</t>
  </si>
  <si>
    <t>SR_1 Sandly</t>
  </si>
  <si>
    <t>SR_2 Composite</t>
  </si>
  <si>
    <t>SR_2 Rock</t>
  </si>
  <si>
    <t>SR_2 Sandly</t>
  </si>
  <si>
    <t>SR_3 Composite</t>
  </si>
  <si>
    <t>SR_3 Rock</t>
  </si>
  <si>
    <t>SR_3 Sandly</t>
  </si>
  <si>
    <t>Crusher 16:30</t>
  </si>
  <si>
    <t>Crusher 17:00</t>
  </si>
  <si>
    <t>Crusher 17:30</t>
  </si>
  <si>
    <t>Crusher 08:00</t>
  </si>
  <si>
    <t>Crusher 08:30</t>
  </si>
  <si>
    <t>Crusher 09:00</t>
  </si>
  <si>
    <t>Crusher 09:30</t>
  </si>
  <si>
    <t>Crusher 10:00</t>
  </si>
  <si>
    <t>Crusher 10:30</t>
  </si>
  <si>
    <t>Crusher 11:00</t>
  </si>
  <si>
    <t>Crusher 11:30</t>
  </si>
  <si>
    <t>Crusher 13:00</t>
  </si>
  <si>
    <t>Crusher 13:30</t>
  </si>
  <si>
    <t>Crusher 14:00</t>
  </si>
  <si>
    <t>Crusher 14:30</t>
  </si>
  <si>
    <t>Crusher 15:00</t>
  </si>
  <si>
    <t>Crusher 15:30</t>
  </si>
  <si>
    <t>Crusher 16:00</t>
  </si>
  <si>
    <t>Crusher 18:00</t>
  </si>
  <si>
    <t>Crusher 18:30</t>
  </si>
  <si>
    <t>Crusher 19:00</t>
  </si>
  <si>
    <t>TOTAL SAMPEL</t>
  </si>
  <si>
    <t>RATA-RATA</t>
  </si>
  <si>
    <t>MEDIAN</t>
  </si>
  <si>
    <t>ST DEVIASI</t>
  </si>
  <si>
    <t>MIN</t>
  </si>
  <si>
    <t>MAX</t>
  </si>
  <si>
    <t>% &gt; 1.5</t>
  </si>
  <si>
    <t>source_file</t>
  </si>
  <si>
    <t>sample_id</t>
  </si>
  <si>
    <t>au_gpt</t>
  </si>
  <si>
    <t>Final Report BDL2608030-GC.pdf</t>
  </si>
  <si>
    <t>BB 214</t>
  </si>
  <si>
    <t>BB 215</t>
  </si>
  <si>
    <t>OxD 183</t>
  </si>
  <si>
    <t>Final Report BDL2608033-GC.pdf</t>
  </si>
  <si>
    <t>BB 1817</t>
  </si>
  <si>
    <t>BB 1818</t>
  </si>
  <si>
    <t>BB 1819</t>
  </si>
  <si>
    <t>BB 1820</t>
  </si>
  <si>
    <t>BB 1821</t>
  </si>
  <si>
    <t>Final Report BDL2608034-GC.pdf</t>
  </si>
  <si>
    <t>BB 961</t>
  </si>
  <si>
    <t>BB 962</t>
  </si>
  <si>
    <t>BB 963</t>
  </si>
  <si>
    <t>BB 964</t>
  </si>
  <si>
    <t>BB 965</t>
  </si>
  <si>
    <t>BB 966</t>
  </si>
  <si>
    <t>BB 967</t>
  </si>
  <si>
    <t>BB 968</t>
  </si>
  <si>
    <t>BB 969</t>
  </si>
  <si>
    <t>BB 970</t>
  </si>
  <si>
    <t>Final Report BDL2608035-DC.pdf</t>
  </si>
  <si>
    <t>OxG 191</t>
  </si>
  <si>
    <t>PTR 15</t>
  </si>
  <si>
    <t>Final Report BDL2608036-GC.pdf</t>
  </si>
  <si>
    <t>BB 971</t>
  </si>
  <si>
    <t>BB 972</t>
  </si>
  <si>
    <t>BB 973</t>
  </si>
  <si>
    <t>BB 974</t>
  </si>
  <si>
    <t>BB 975</t>
  </si>
  <si>
    <t>BB 976</t>
  </si>
  <si>
    <t>Final Report BDL2608037-GC.pdf</t>
  </si>
  <si>
    <t>BB 977</t>
  </si>
  <si>
    <t>BB 978</t>
  </si>
  <si>
    <t>BB 979</t>
  </si>
  <si>
    <t>BB 980</t>
  </si>
  <si>
    <t>BB 981</t>
  </si>
  <si>
    <t>Final Report BDL2608039-GC.pdf</t>
  </si>
  <si>
    <t>BB 982</t>
  </si>
  <si>
    <t>BB 983</t>
  </si>
  <si>
    <t>BB 984</t>
  </si>
  <si>
    <t>BB 985</t>
  </si>
  <si>
    <t>BB 986</t>
  </si>
  <si>
    <t>Final Report BDL2608041-GC.pdf</t>
  </si>
  <si>
    <t>BB 987</t>
  </si>
  <si>
    <t>BB 988</t>
  </si>
  <si>
    <t>BB 989</t>
  </si>
  <si>
    <t>BB 990</t>
  </si>
  <si>
    <t>BB 991</t>
  </si>
  <si>
    <t>BB 992</t>
  </si>
  <si>
    <t>BB 993</t>
  </si>
  <si>
    <t>BB 994</t>
  </si>
  <si>
    <t>BB 995</t>
  </si>
  <si>
    <t>BB 996</t>
  </si>
  <si>
    <t>Final Report BDL2608042-GC.pdf</t>
  </si>
  <si>
    <t>BB 1822</t>
  </si>
  <si>
    <t>BB 1823</t>
  </si>
  <si>
    <t>BB 1824</t>
  </si>
  <si>
    <t>BB 1825</t>
  </si>
  <si>
    <t>BB 1826</t>
  </si>
  <si>
    <t>BB 1827</t>
  </si>
  <si>
    <t>BB 1828</t>
  </si>
  <si>
    <t>BB 1829</t>
  </si>
  <si>
    <t>Final Report BDL2608043-GC.pdf</t>
  </si>
  <si>
    <t>Final Report BDL2608044-GC.pdf</t>
  </si>
  <si>
    <t>BA 101</t>
  </si>
  <si>
    <t>Final Report BDL2608046-GC.pdf</t>
  </si>
  <si>
    <t>BA 1822</t>
  </si>
  <si>
    <t>BA 1823</t>
  </si>
  <si>
    <t>BA 1824</t>
  </si>
  <si>
    <t>BA 1825</t>
  </si>
  <si>
    <t>BA 1826</t>
  </si>
  <si>
    <t>BA 1827</t>
  </si>
  <si>
    <t>BA 1828</t>
  </si>
  <si>
    <t>BA 1829</t>
  </si>
  <si>
    <t>BA 1830</t>
  </si>
  <si>
    <t>BA 1831</t>
  </si>
  <si>
    <t>BA 1832</t>
  </si>
  <si>
    <t>BA 1833</t>
  </si>
  <si>
    <t>BA 1834</t>
  </si>
  <si>
    <t>BA 1835</t>
  </si>
  <si>
    <t>BA 1836</t>
  </si>
  <si>
    <t>BA 1837</t>
  </si>
  <si>
    <t>BA 1838</t>
  </si>
  <si>
    <t>BA 1839</t>
  </si>
  <si>
    <t>BA 1840</t>
  </si>
  <si>
    <t>BA 1841</t>
  </si>
  <si>
    <t>Final Report BDL2608048-GC.pdf</t>
  </si>
  <si>
    <t>BB 1000</t>
  </si>
  <si>
    <t>BB 1001</t>
  </si>
  <si>
    <t>BB 1002</t>
  </si>
  <si>
    <t>BB 1003</t>
  </si>
  <si>
    <t>BB 1004</t>
  </si>
  <si>
    <t>BB 1005</t>
  </si>
  <si>
    <t>BB 1006</t>
  </si>
  <si>
    <t>BB 997</t>
  </si>
  <si>
    <t>BB 998</t>
  </si>
  <si>
    <t>BB 999</t>
  </si>
  <si>
    <t>Final Report BDL2608049-GC.pdf</t>
  </si>
  <si>
    <t>Final Report BDL2608050-GC.pdf</t>
  </si>
  <si>
    <t>BB 1017</t>
  </si>
  <si>
    <t>BB 1018</t>
  </si>
  <si>
    <t>BB 1019</t>
  </si>
  <si>
    <t>Final Report BDL2608051-GC.pdf</t>
  </si>
  <si>
    <t>BB 102</t>
  </si>
  <si>
    <t>BB 103</t>
  </si>
  <si>
    <t>Final Report BDL2608052-GC.pdf</t>
  </si>
  <si>
    <t>BB 1020</t>
  </si>
  <si>
    <t>BB 1021</t>
  </si>
  <si>
    <t>BB 1022</t>
  </si>
  <si>
    <t>BB 1023</t>
  </si>
  <si>
    <t>BB 1024</t>
  </si>
  <si>
    <t>BB 1025</t>
  </si>
  <si>
    <t>BB 1026</t>
  </si>
  <si>
    <t>BB 1027</t>
  </si>
  <si>
    <t>BB 1028</t>
  </si>
  <si>
    <t>BB 1029</t>
  </si>
  <si>
    <t>Final Report BDL2608054-GC.pdf</t>
  </si>
  <si>
    <t>BB 1030</t>
  </si>
  <si>
    <t>BB 1031</t>
  </si>
  <si>
    <t>BB 1032</t>
  </si>
  <si>
    <t>Final Report BDL2608055-GC.pdf</t>
  </si>
  <si>
    <t>BB 1033</t>
  </si>
  <si>
    <t>BB 1034</t>
  </si>
  <si>
    <t>BB 1035</t>
  </si>
  <si>
    <t>BB 1036</t>
  </si>
  <si>
    <t>BB 1037</t>
  </si>
  <si>
    <t>BB 1038</t>
  </si>
  <si>
    <t>BB 1039</t>
  </si>
  <si>
    <t>Final Report BDL2608056-GC.pdf</t>
  </si>
  <si>
    <t>BB 1040</t>
  </si>
  <si>
    <t>BB 1041</t>
  </si>
  <si>
    <t>BB 1042</t>
  </si>
  <si>
    <t>BB 1043</t>
  </si>
  <si>
    <t>BB 1045</t>
  </si>
  <si>
    <t>BB 1046</t>
  </si>
  <si>
    <t>BB 1047</t>
  </si>
  <si>
    <t>BB 1048</t>
  </si>
  <si>
    <t>BB 1049</t>
  </si>
  <si>
    <t>Final Report BDL2608057-GC.pdf</t>
  </si>
  <si>
    <t>BB 104</t>
  </si>
  <si>
    <t>BB 105</t>
  </si>
  <si>
    <t>Final Report BDL2608058-GC.pdf</t>
  </si>
  <si>
    <t>Final Report BDL2608061-GC.pdf</t>
  </si>
  <si>
    <t>BB 1073</t>
  </si>
  <si>
    <t>BB 1074</t>
  </si>
  <si>
    <t>BB 1075</t>
  </si>
  <si>
    <t>BB 1076</t>
  </si>
  <si>
    <t>BB 1077</t>
  </si>
  <si>
    <t>BB 1078</t>
  </si>
  <si>
    <t>BB 1079</t>
  </si>
  <si>
    <t>BB 1080</t>
  </si>
  <si>
    <t>BB 1081</t>
  </si>
  <si>
    <t>BB 1082</t>
  </si>
  <si>
    <t>Final Report BDL2608062-GC.pdf</t>
  </si>
  <si>
    <t>BB 1083</t>
  </si>
  <si>
    <t>BB 1084</t>
  </si>
  <si>
    <t>BB 1085</t>
  </si>
  <si>
    <t>BB 1086</t>
  </si>
  <si>
    <t>BB 1087</t>
  </si>
  <si>
    <t>BB 1088</t>
  </si>
  <si>
    <t>BB 1089</t>
  </si>
  <si>
    <t>BB 1090</t>
  </si>
  <si>
    <t>BB 1091</t>
  </si>
  <si>
    <t>Final Report BDL2608063-GC.pdf</t>
  </si>
  <si>
    <t>Final Report BDL2608064-GC.pdf</t>
  </si>
  <si>
    <t>STP 07</t>
  </si>
  <si>
    <t>STP 08</t>
  </si>
  <si>
    <t>STP 09</t>
  </si>
  <si>
    <t>STP 10</t>
  </si>
  <si>
    <t>Final Report BDL2608067-GC.pdf</t>
  </si>
  <si>
    <t>BB 1050</t>
  </si>
  <si>
    <t>BB 1051</t>
  </si>
  <si>
    <t>BB 1052</t>
  </si>
  <si>
    <t>BB 1053</t>
  </si>
  <si>
    <t>BB 1054</t>
  </si>
  <si>
    <t>BB 1055</t>
  </si>
  <si>
    <t>BB 1056</t>
  </si>
  <si>
    <t>BB 1057</t>
  </si>
  <si>
    <t>BB 1058</t>
  </si>
  <si>
    <t>BB 1059</t>
  </si>
  <si>
    <t>BB 1060</t>
  </si>
  <si>
    <t>BB 1061</t>
  </si>
  <si>
    <t>BB 1062</t>
  </si>
  <si>
    <t>BB 1063</t>
  </si>
  <si>
    <t>BB 1064</t>
  </si>
  <si>
    <t>BB 1065</t>
  </si>
  <si>
    <t>BB 1066</t>
  </si>
  <si>
    <t>BB 1067</t>
  </si>
  <si>
    <t>BB 1068</t>
  </si>
  <si>
    <t>BB 1069</t>
  </si>
  <si>
    <t>Final Report BDL2608068-GC.pdf</t>
  </si>
  <si>
    <t>BB 199</t>
  </si>
  <si>
    <t>Final Report BDL2608069-GC.pdf</t>
  </si>
  <si>
    <t>BB 106</t>
  </si>
  <si>
    <t>INFORMASI SAMPEL MET</t>
  </si>
  <si>
    <t>INFORMASI SAMPLE GC</t>
  </si>
  <si>
    <t>UJI STATISTIK (WELCH'S T-TEST)</t>
  </si>
  <si>
    <t>P-VALUE</t>
  </si>
  <si>
    <t>T-VALUE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</si>
</sst>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2" fillId="2" borderId="1" xfId="0" applyFont="1" applyFill="1" applyBorder="1"/>
    <xf numFmtId="0" fontId="0" fillId="3" borderId="1" xfId="0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3" fillId="0" borderId="7" xfId="1" applyFont="1" applyBorder="1"/>
    <xf numFmtId="9" fontId="0" fillId="0" borderId="7" xfId="1" applyFont="1" applyBorder="1"/>
    <xf numFmtId="0" fontId="0" fillId="0" borderId="7" xfId="0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06E5B-74C1-4C29-91B3-CDC75721E384}">
  <dimension ref="A1:U204"/>
  <sheetViews>
    <sheetView tabSelected="1" zoomScale="87" workbookViewId="0">
      <selection activeCell="O24" sqref="O24"/>
    </sheetView>
  </sheetViews>
  <sheetFormatPr defaultRowHeight="14.4"/>
  <cols>
    <col min="2" max="2" width="19.21875" customWidth="1"/>
    <col min="3" max="3" width="18.77734375" customWidth="1"/>
    <col min="10" max="10" width="13.77734375" customWidth="1"/>
    <col min="11" max="11" width="14.88671875" customWidth="1"/>
    <col min="15" max="15" width="8.88671875" customWidth="1"/>
    <col min="16" max="16" width="33.109375" customWidth="1"/>
    <col min="17" max="17" width="20.109375" customWidth="1"/>
    <col min="18" max="18" width="18.33203125" customWidth="1"/>
  </cols>
  <sheetData>
    <row r="1" spans="1:21" ht="15" thickBot="1">
      <c r="A1" s="17" t="s">
        <v>0</v>
      </c>
      <c r="B1" s="17"/>
      <c r="C1" s="17"/>
      <c r="D1" s="17"/>
      <c r="E1" s="17"/>
      <c r="F1" s="17"/>
      <c r="P1" s="17" t="s">
        <v>0</v>
      </c>
      <c r="Q1" s="17"/>
      <c r="R1" s="17"/>
      <c r="S1" s="17"/>
      <c r="T1" s="17"/>
      <c r="U1" s="17"/>
    </row>
    <row r="2" spans="1:2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J2" s="18" t="s">
        <v>267</v>
      </c>
      <c r="K2" s="19"/>
      <c r="P2" s="15" t="s">
        <v>69</v>
      </c>
      <c r="Q2" s="16" t="s">
        <v>70</v>
      </c>
      <c r="R2" s="16" t="s">
        <v>71</v>
      </c>
      <c r="S2" s="15"/>
      <c r="T2" s="15"/>
      <c r="U2" s="15"/>
    </row>
    <row r="3" spans="1:21">
      <c r="A3" s="2">
        <v>1</v>
      </c>
      <c r="B3" s="2" t="s">
        <v>7</v>
      </c>
      <c r="C3" s="3">
        <v>46197</v>
      </c>
      <c r="D3" s="2">
        <v>0.54600000000000004</v>
      </c>
      <c r="E3" s="2"/>
      <c r="F3" s="2"/>
      <c r="J3" s="9" t="s">
        <v>62</v>
      </c>
      <c r="K3" s="10">
        <f>COUNT(D3:D86)</f>
        <v>84</v>
      </c>
      <c r="P3" s="15" t="s">
        <v>72</v>
      </c>
      <c r="Q3" s="16" t="s">
        <v>73</v>
      </c>
      <c r="R3" s="16">
        <v>4.6550000000000002</v>
      </c>
      <c r="S3" s="15"/>
      <c r="T3" s="15"/>
      <c r="U3" s="15"/>
    </row>
    <row r="4" spans="1:21">
      <c r="A4" s="2">
        <v>2</v>
      </c>
      <c r="B4" s="2" t="s">
        <v>8</v>
      </c>
      <c r="C4" s="3">
        <v>46197</v>
      </c>
      <c r="D4" s="2">
        <v>0.57599999999999996</v>
      </c>
      <c r="E4" s="2"/>
      <c r="F4" s="2"/>
      <c r="J4" s="9" t="s">
        <v>63</v>
      </c>
      <c r="K4" s="10">
        <f>AVERAGE(D3:D86)</f>
        <v>0.95059523809523838</v>
      </c>
      <c r="P4" s="15" t="s">
        <v>72</v>
      </c>
      <c r="Q4" s="16" t="s">
        <v>74</v>
      </c>
      <c r="R4" s="16">
        <v>1.901</v>
      </c>
      <c r="S4" s="15"/>
      <c r="T4" s="15"/>
      <c r="U4" s="15"/>
    </row>
    <row r="5" spans="1:21">
      <c r="A5" s="2">
        <v>3</v>
      </c>
      <c r="B5" s="2" t="s">
        <v>9</v>
      </c>
      <c r="C5" s="3">
        <v>46197</v>
      </c>
      <c r="D5" s="2">
        <v>0.83899999999999997</v>
      </c>
      <c r="E5" s="2"/>
      <c r="F5" s="2"/>
      <c r="J5" s="9" t="s">
        <v>64</v>
      </c>
      <c r="K5" s="10">
        <f>MEDIAN(D3:D86)</f>
        <v>0.69899999999999995</v>
      </c>
      <c r="P5" s="15" t="s">
        <v>72</v>
      </c>
      <c r="Q5" s="16" t="s">
        <v>75</v>
      </c>
      <c r="R5" s="16">
        <v>0.46200000000000002</v>
      </c>
      <c r="S5" s="15"/>
      <c r="T5" s="15"/>
      <c r="U5" s="15"/>
    </row>
    <row r="6" spans="1:21">
      <c r="A6" s="2">
        <v>4</v>
      </c>
      <c r="B6" s="2" t="s">
        <v>10</v>
      </c>
      <c r="C6" s="3">
        <v>46197</v>
      </c>
      <c r="D6" s="2">
        <v>2.0110000000000001</v>
      </c>
      <c r="E6" s="2"/>
      <c r="F6" s="2"/>
      <c r="J6" s="9" t="s">
        <v>65</v>
      </c>
      <c r="K6" s="10">
        <f>_xlfn.STDEV.P(D3:D86)</f>
        <v>0.767462347750962</v>
      </c>
      <c r="P6" s="15" t="s">
        <v>76</v>
      </c>
      <c r="Q6" s="16" t="s">
        <v>77</v>
      </c>
      <c r="R6" s="16">
        <v>0.42099999999999999</v>
      </c>
      <c r="S6" s="15"/>
      <c r="T6" s="15"/>
      <c r="U6" s="15"/>
    </row>
    <row r="7" spans="1:21">
      <c r="A7" s="2">
        <v>5</v>
      </c>
      <c r="B7" s="2" t="s">
        <v>11</v>
      </c>
      <c r="C7" s="3">
        <v>46197</v>
      </c>
      <c r="D7" s="2">
        <v>0.94399999999999995</v>
      </c>
      <c r="E7" s="2"/>
      <c r="F7" s="2"/>
      <c r="J7" s="9" t="s">
        <v>66</v>
      </c>
      <c r="K7" s="10">
        <f>MIN(D3:D86)</f>
        <v>9.9000000000000005E-2</v>
      </c>
      <c r="P7" s="15" t="s">
        <v>76</v>
      </c>
      <c r="Q7" s="16" t="s">
        <v>78</v>
      </c>
      <c r="R7" s="16">
        <v>0.57499999999999996</v>
      </c>
      <c r="S7" s="15"/>
      <c r="T7" s="15"/>
      <c r="U7" s="15"/>
    </row>
    <row r="8" spans="1:21">
      <c r="A8" s="2">
        <v>6</v>
      </c>
      <c r="B8" s="2" t="s">
        <v>12</v>
      </c>
      <c r="C8" s="3">
        <v>46197</v>
      </c>
      <c r="D8" s="2">
        <v>0.70199999999999996</v>
      </c>
      <c r="E8" s="2"/>
      <c r="F8" s="2"/>
      <c r="J8" s="9" t="s">
        <v>67</v>
      </c>
      <c r="K8" s="10">
        <f>MAX(D3:D86)</f>
        <v>4.383</v>
      </c>
      <c r="P8" s="15" t="s">
        <v>76</v>
      </c>
      <c r="Q8" s="16" t="s">
        <v>79</v>
      </c>
      <c r="R8" s="16">
        <v>0.99199999999999999</v>
      </c>
      <c r="S8" s="15"/>
      <c r="T8" s="15"/>
      <c r="U8" s="15"/>
    </row>
    <row r="9" spans="1:21" ht="15.6" thickBot="1">
      <c r="A9" s="2">
        <v>7</v>
      </c>
      <c r="B9" s="2" t="s">
        <v>13</v>
      </c>
      <c r="C9" s="3">
        <v>46197</v>
      </c>
      <c r="D9" s="2">
        <v>3.2160000000000002</v>
      </c>
      <c r="E9" s="2"/>
      <c r="F9" s="2"/>
      <c r="J9" s="11" t="s">
        <v>68</v>
      </c>
      <c r="K9" s="12">
        <f>(COUNTIF(D3:D86,"&gt;1.5")/COUNT(D3:D86))</f>
        <v>0.17857142857142858</v>
      </c>
      <c r="P9" s="15" t="s">
        <v>76</v>
      </c>
      <c r="Q9" s="16" t="s">
        <v>80</v>
      </c>
      <c r="R9" s="16">
        <v>0.65800000000000003</v>
      </c>
      <c r="S9" s="15"/>
      <c r="T9" s="15"/>
      <c r="U9" s="15"/>
    </row>
    <row r="10" spans="1:21">
      <c r="A10" s="2">
        <v>8</v>
      </c>
      <c r="B10" s="2" t="s">
        <v>14</v>
      </c>
      <c r="C10" s="3">
        <v>46197</v>
      </c>
      <c r="D10" s="2">
        <v>0.56200000000000006</v>
      </c>
      <c r="E10" s="2"/>
      <c r="F10" s="2"/>
      <c r="P10" s="15" t="s">
        <v>76</v>
      </c>
      <c r="Q10" s="16" t="s">
        <v>81</v>
      </c>
      <c r="R10" s="16">
        <v>2.0289999999999999</v>
      </c>
      <c r="S10" s="15"/>
      <c r="T10" s="15"/>
      <c r="U10" s="15"/>
    </row>
    <row r="11" spans="1:21" ht="15" thickBot="1">
      <c r="A11" s="2">
        <v>9</v>
      </c>
      <c r="B11" s="2" t="s">
        <v>15</v>
      </c>
      <c r="C11" s="3">
        <v>46197</v>
      </c>
      <c r="D11" s="2">
        <v>0.79</v>
      </c>
      <c r="E11" s="2"/>
      <c r="F11" s="2"/>
      <c r="P11" s="15" t="s">
        <v>76</v>
      </c>
      <c r="Q11" s="16" t="s">
        <v>75</v>
      </c>
      <c r="R11" s="16">
        <v>0.47499999999999998</v>
      </c>
      <c r="S11" s="15"/>
      <c r="T11" s="15"/>
      <c r="U11" s="15"/>
    </row>
    <row r="12" spans="1:21">
      <c r="A12" s="2">
        <v>10</v>
      </c>
      <c r="B12" s="2" t="s">
        <v>16</v>
      </c>
      <c r="C12" s="3">
        <v>46197</v>
      </c>
      <c r="D12" s="2">
        <v>1.583</v>
      </c>
      <c r="E12" s="2"/>
      <c r="F12" s="2"/>
      <c r="J12" s="18" t="s">
        <v>268</v>
      </c>
      <c r="K12" s="19"/>
      <c r="P12" s="15" t="s">
        <v>82</v>
      </c>
      <c r="Q12" s="16" t="s">
        <v>83</v>
      </c>
      <c r="R12" s="16">
        <v>0.67900000000000005</v>
      </c>
      <c r="S12" s="15"/>
      <c r="T12" s="15"/>
      <c r="U12" s="15"/>
    </row>
    <row r="13" spans="1:21">
      <c r="A13" s="2">
        <v>11</v>
      </c>
      <c r="B13" s="2" t="s">
        <v>17</v>
      </c>
      <c r="C13" s="3">
        <v>46181</v>
      </c>
      <c r="D13" s="2">
        <v>1.9630000000000001</v>
      </c>
      <c r="E13" s="2"/>
      <c r="F13" s="2"/>
      <c r="J13" s="9" t="s">
        <v>62</v>
      </c>
      <c r="K13" s="10">
        <f>COUNT(R3:R204)</f>
        <v>202</v>
      </c>
      <c r="P13" s="15" t="s">
        <v>82</v>
      </c>
      <c r="Q13" s="16" t="s">
        <v>84</v>
      </c>
      <c r="R13" s="16">
        <v>0.184</v>
      </c>
      <c r="S13" s="15"/>
      <c r="T13" s="15"/>
      <c r="U13" s="15"/>
    </row>
    <row r="14" spans="1:21">
      <c r="A14" s="2">
        <v>12</v>
      </c>
      <c r="B14" s="2" t="s">
        <v>18</v>
      </c>
      <c r="C14" s="3">
        <v>46181</v>
      </c>
      <c r="D14" s="2">
        <v>0.73499999999999999</v>
      </c>
      <c r="E14" s="2"/>
      <c r="F14" s="2"/>
      <c r="J14" s="9" t="s">
        <v>63</v>
      </c>
      <c r="K14" s="10">
        <f>AVERAGE(R3:R204)</f>
        <v>1.1666237623762377</v>
      </c>
      <c r="P14" s="15" t="s">
        <v>82</v>
      </c>
      <c r="Q14" s="16" t="s">
        <v>85</v>
      </c>
      <c r="R14" s="16">
        <v>1.41</v>
      </c>
      <c r="S14" s="15"/>
      <c r="T14" s="15"/>
      <c r="U14" s="15"/>
    </row>
    <row r="15" spans="1:21">
      <c r="A15" s="2">
        <v>13</v>
      </c>
      <c r="B15" s="2" t="s">
        <v>19</v>
      </c>
      <c r="C15" s="3">
        <v>46181</v>
      </c>
      <c r="D15" s="2">
        <v>0.34799999999999998</v>
      </c>
      <c r="E15" s="2"/>
      <c r="F15" s="2"/>
      <c r="J15" s="9" t="s">
        <v>64</v>
      </c>
      <c r="K15" s="10">
        <f>MEDIAN(R3:R204)</f>
        <v>0.46350000000000002</v>
      </c>
      <c r="P15" s="15" t="s">
        <v>82</v>
      </c>
      <c r="Q15" s="16" t="s">
        <v>86</v>
      </c>
      <c r="R15" s="16">
        <v>1.2270000000000001</v>
      </c>
      <c r="S15" s="15"/>
      <c r="T15" s="15"/>
      <c r="U15" s="15"/>
    </row>
    <row r="16" spans="1:21">
      <c r="A16" s="2">
        <v>14</v>
      </c>
      <c r="B16" s="2" t="s">
        <v>20</v>
      </c>
      <c r="C16" s="3">
        <v>46181</v>
      </c>
      <c r="D16" s="2">
        <v>1.2929999999999999</v>
      </c>
      <c r="E16" s="2"/>
      <c r="F16" s="2"/>
      <c r="J16" s="9" t="s">
        <v>65</v>
      </c>
      <c r="K16" s="10">
        <f>_xlfn.STDEV.P(R3:R204)</f>
        <v>4.114816761079056</v>
      </c>
      <c r="P16" s="15" t="s">
        <v>82</v>
      </c>
      <c r="Q16" s="16" t="s">
        <v>87</v>
      </c>
      <c r="R16" s="16">
        <v>8.7999999999999995E-2</v>
      </c>
      <c r="S16" s="15"/>
      <c r="T16" s="15"/>
      <c r="U16" s="15"/>
    </row>
    <row r="17" spans="1:21">
      <c r="A17" s="2">
        <v>15</v>
      </c>
      <c r="B17" s="2" t="s">
        <v>21</v>
      </c>
      <c r="C17" s="3">
        <v>46181</v>
      </c>
      <c r="D17" s="2">
        <v>0.43</v>
      </c>
      <c r="E17" s="2"/>
      <c r="F17" s="2"/>
      <c r="J17" s="9" t="s">
        <v>66</v>
      </c>
      <c r="K17" s="10">
        <f>MIN(R3:R204)</f>
        <v>0.01</v>
      </c>
      <c r="P17" s="15" t="s">
        <v>82</v>
      </c>
      <c r="Q17" s="16" t="s">
        <v>88</v>
      </c>
      <c r="R17" s="16">
        <v>5.8999999999999997E-2</v>
      </c>
      <c r="S17" s="15"/>
      <c r="T17" s="15"/>
      <c r="U17" s="15"/>
    </row>
    <row r="18" spans="1:21">
      <c r="A18" s="2">
        <v>16</v>
      </c>
      <c r="B18" s="2" t="s">
        <v>22</v>
      </c>
      <c r="C18" s="3">
        <v>46180</v>
      </c>
      <c r="D18" s="2">
        <v>0.55800000000000005</v>
      </c>
      <c r="E18" s="2"/>
      <c r="F18" s="2"/>
      <c r="J18" s="9" t="s">
        <v>67</v>
      </c>
      <c r="K18" s="10">
        <f>MAX(R3:R204)</f>
        <v>52.48</v>
      </c>
      <c r="P18" s="15" t="s">
        <v>82</v>
      </c>
      <c r="Q18" s="16" t="s">
        <v>89</v>
      </c>
      <c r="R18" s="16">
        <v>2.1999999999999999E-2</v>
      </c>
      <c r="S18" s="15"/>
      <c r="T18" s="15"/>
      <c r="U18" s="15"/>
    </row>
    <row r="19" spans="1:21" ht="15" thickBot="1">
      <c r="A19" s="2">
        <v>17</v>
      </c>
      <c r="B19" s="2" t="s">
        <v>23</v>
      </c>
      <c r="C19" s="3">
        <v>46180</v>
      </c>
      <c r="D19" s="2">
        <v>0.60399999999999998</v>
      </c>
      <c r="E19" s="2"/>
      <c r="F19" s="2"/>
      <c r="J19" s="11" t="s">
        <v>68</v>
      </c>
      <c r="K19" s="13">
        <f>(COUNTIF(R3:R204,"&gt;1.5")/COUNT(R3:R204))</f>
        <v>0.12376237623762376</v>
      </c>
      <c r="P19" s="15" t="s">
        <v>82</v>
      </c>
      <c r="Q19" s="16" t="s">
        <v>90</v>
      </c>
      <c r="R19" s="16">
        <v>0.109</v>
      </c>
      <c r="S19" s="15"/>
      <c r="T19" s="15"/>
      <c r="U19" s="15"/>
    </row>
    <row r="20" spans="1:21">
      <c r="A20" s="2">
        <v>18</v>
      </c>
      <c r="B20" s="2" t="s">
        <v>24</v>
      </c>
      <c r="C20" s="3">
        <v>46180</v>
      </c>
      <c r="D20" s="2">
        <v>4.383</v>
      </c>
      <c r="E20" s="2"/>
      <c r="F20" s="2"/>
      <c r="P20" s="15" t="s">
        <v>82</v>
      </c>
      <c r="Q20" s="16" t="s">
        <v>91</v>
      </c>
      <c r="R20" s="16">
        <v>0.14000000000000001</v>
      </c>
      <c r="S20" s="15"/>
      <c r="T20" s="15"/>
      <c r="U20" s="15"/>
    </row>
    <row r="21" spans="1:21" ht="15" thickBot="1">
      <c r="A21" s="2">
        <v>19</v>
      </c>
      <c r="B21" s="2" t="s">
        <v>25</v>
      </c>
      <c r="C21" s="3">
        <v>46180</v>
      </c>
      <c r="D21" s="2">
        <v>3.2330000000000001</v>
      </c>
      <c r="E21" s="2"/>
      <c r="F21" s="2"/>
      <c r="P21" s="15" t="s">
        <v>82</v>
      </c>
      <c r="Q21" s="16" t="s">
        <v>92</v>
      </c>
      <c r="R21" s="16">
        <v>1.1619999999999999</v>
      </c>
      <c r="S21" s="15"/>
      <c r="T21" s="15"/>
      <c r="U21" s="15"/>
    </row>
    <row r="22" spans="1:21">
      <c r="A22" s="2">
        <v>20</v>
      </c>
      <c r="B22" s="2" t="s">
        <v>26</v>
      </c>
      <c r="C22" s="3">
        <v>46180</v>
      </c>
      <c r="D22" s="2">
        <v>1.635</v>
      </c>
      <c r="E22" s="2"/>
      <c r="F22" s="2"/>
      <c r="J22" s="18" t="s">
        <v>269</v>
      </c>
      <c r="K22" s="19"/>
      <c r="P22" s="15" t="s">
        <v>82</v>
      </c>
      <c r="Q22" s="16" t="s">
        <v>75</v>
      </c>
      <c r="R22" s="16">
        <v>0.47899999999999998</v>
      </c>
      <c r="S22" s="15"/>
      <c r="T22" s="15"/>
      <c r="U22" s="15"/>
    </row>
    <row r="23" spans="1:21">
      <c r="A23" s="2">
        <v>21</v>
      </c>
      <c r="B23" s="2" t="s">
        <v>27</v>
      </c>
      <c r="C23" s="3">
        <v>46180</v>
      </c>
      <c r="D23" s="2">
        <v>1.2390000000000001</v>
      </c>
      <c r="E23" s="2"/>
      <c r="F23" s="2"/>
      <c r="J23" s="9" t="s">
        <v>270</v>
      </c>
      <c r="K23" s="10">
        <f>_xlfn.T.TEST(D3:D86, R3:R204,2,3)</f>
        <v>0.47543931124871897</v>
      </c>
      <c r="P23" s="15" t="s">
        <v>93</v>
      </c>
      <c r="Q23" s="16" t="s">
        <v>75</v>
      </c>
      <c r="R23" s="16">
        <v>0.44800000000000001</v>
      </c>
      <c r="S23" s="15"/>
      <c r="T23" s="15"/>
      <c r="U23" s="15"/>
    </row>
    <row r="24" spans="1:21" ht="15" thickBot="1">
      <c r="A24" s="2">
        <v>22</v>
      </c>
      <c r="B24" s="2" t="s">
        <v>28</v>
      </c>
      <c r="C24" s="3">
        <v>46180</v>
      </c>
      <c r="D24" s="2">
        <v>0.84699999999999998</v>
      </c>
      <c r="E24" s="2"/>
      <c r="F24" s="2"/>
      <c r="J24" s="11" t="s">
        <v>271</v>
      </c>
      <c r="K24" s="14">
        <f>(K4-K14)/SQRT(_xlfn.VAR.S(D3:D86)/K3+_xlfn.VAR.S(R3:R204)/K13)</f>
        <v>-0.71481789951740182</v>
      </c>
      <c r="P24" s="15" t="s">
        <v>93</v>
      </c>
      <c r="Q24" s="16" t="s">
        <v>94</v>
      </c>
      <c r="R24" s="16">
        <v>1.0820000000000001</v>
      </c>
      <c r="S24" s="15"/>
      <c r="T24" s="15"/>
      <c r="U24" s="15"/>
    </row>
    <row r="25" spans="1:21">
      <c r="A25" s="2">
        <v>23</v>
      </c>
      <c r="B25" s="2" t="s">
        <v>22</v>
      </c>
      <c r="C25" s="3">
        <v>46176</v>
      </c>
      <c r="D25" s="2">
        <v>2.72</v>
      </c>
      <c r="E25" s="2"/>
      <c r="F25" s="2"/>
      <c r="P25" s="15" t="s">
        <v>93</v>
      </c>
      <c r="Q25" s="16" t="s">
        <v>95</v>
      </c>
      <c r="R25" s="16">
        <v>0.09</v>
      </c>
      <c r="S25" s="15"/>
      <c r="T25" s="15"/>
      <c r="U25" s="15"/>
    </row>
    <row r="26" spans="1:21">
      <c r="A26" s="2">
        <v>24</v>
      </c>
      <c r="B26" s="2" t="s">
        <v>23</v>
      </c>
      <c r="C26" s="3">
        <v>46176</v>
      </c>
      <c r="D26" s="2">
        <v>0.57599999999999996</v>
      </c>
      <c r="E26" s="2"/>
      <c r="F26" s="2"/>
      <c r="P26" s="15" t="s">
        <v>96</v>
      </c>
      <c r="Q26" s="16" t="s">
        <v>97</v>
      </c>
      <c r="R26" s="16">
        <v>0.18</v>
      </c>
      <c r="S26" s="15"/>
      <c r="T26" s="15"/>
      <c r="U26" s="15"/>
    </row>
    <row r="27" spans="1:21">
      <c r="A27" s="2">
        <v>25</v>
      </c>
      <c r="B27" s="2" t="s">
        <v>24</v>
      </c>
      <c r="C27" s="3">
        <v>46176</v>
      </c>
      <c r="D27" s="2">
        <v>0.66300000000000003</v>
      </c>
      <c r="E27" s="2"/>
      <c r="F27" s="2"/>
      <c r="P27" s="15" t="s">
        <v>96</v>
      </c>
      <c r="Q27" s="16" t="s">
        <v>98</v>
      </c>
      <c r="R27" s="16">
        <v>4.8940000000000001</v>
      </c>
      <c r="S27" s="15"/>
      <c r="T27" s="15"/>
      <c r="U27" s="15"/>
    </row>
    <row r="28" spans="1:21">
      <c r="A28" s="2">
        <v>26</v>
      </c>
      <c r="B28" s="2" t="s">
        <v>25</v>
      </c>
      <c r="C28" s="3">
        <v>46176</v>
      </c>
      <c r="D28" s="2">
        <v>1.8220000000000001</v>
      </c>
      <c r="E28" s="2"/>
      <c r="F28" s="2"/>
      <c r="P28" s="15" t="s">
        <v>96</v>
      </c>
      <c r="Q28" s="16" t="s">
        <v>99</v>
      </c>
      <c r="R28" s="16">
        <v>7.3440000000000003</v>
      </c>
      <c r="S28" s="15"/>
      <c r="T28" s="15"/>
      <c r="U28" s="15"/>
    </row>
    <row r="29" spans="1:21">
      <c r="A29" s="2">
        <v>27</v>
      </c>
      <c r="B29" s="2" t="s">
        <v>26</v>
      </c>
      <c r="C29" s="3">
        <v>46176</v>
      </c>
      <c r="D29" s="2">
        <v>0.79700000000000004</v>
      </c>
      <c r="E29" s="2"/>
      <c r="F29" s="2"/>
      <c r="P29" s="15" t="s">
        <v>96</v>
      </c>
      <c r="Q29" s="16" t="s">
        <v>100</v>
      </c>
      <c r="R29" s="16">
        <v>4.1820000000000004</v>
      </c>
      <c r="S29" s="15"/>
      <c r="T29" s="15"/>
      <c r="U29" s="15"/>
    </row>
    <row r="30" spans="1:21">
      <c r="A30" s="2">
        <v>28</v>
      </c>
      <c r="B30" s="2" t="s">
        <v>27</v>
      </c>
      <c r="C30" s="3">
        <v>46176</v>
      </c>
      <c r="D30" s="2">
        <v>1.3919999999999999</v>
      </c>
      <c r="E30" s="2"/>
      <c r="F30" s="2"/>
      <c r="P30" s="15" t="s">
        <v>96</v>
      </c>
      <c r="Q30" s="16" t="s">
        <v>101</v>
      </c>
      <c r="R30" s="16">
        <v>1.714</v>
      </c>
      <c r="S30" s="15"/>
      <c r="T30" s="15"/>
      <c r="U30" s="15"/>
    </row>
    <row r="31" spans="1:21">
      <c r="A31" s="2">
        <v>29</v>
      </c>
      <c r="B31" s="2" t="s">
        <v>28</v>
      </c>
      <c r="C31" s="3">
        <v>46176</v>
      </c>
      <c r="D31" s="2">
        <v>0.70699999999999996</v>
      </c>
      <c r="E31" s="2"/>
      <c r="F31" s="2"/>
      <c r="P31" s="15" t="s">
        <v>96</v>
      </c>
      <c r="Q31" s="16" t="s">
        <v>102</v>
      </c>
      <c r="R31" s="16">
        <v>1.137</v>
      </c>
      <c r="S31" s="15"/>
      <c r="T31" s="15"/>
      <c r="U31" s="15"/>
    </row>
    <row r="32" spans="1:21">
      <c r="A32" s="2">
        <v>30</v>
      </c>
      <c r="B32" s="2" t="s">
        <v>29</v>
      </c>
      <c r="C32" s="3">
        <v>46176</v>
      </c>
      <c r="D32" s="2">
        <v>1.552</v>
      </c>
      <c r="E32" s="2"/>
      <c r="F32" s="2"/>
      <c r="P32" s="15" t="s">
        <v>96</v>
      </c>
      <c r="Q32" s="16" t="s">
        <v>75</v>
      </c>
      <c r="R32" s="16">
        <v>0.42399999999999999</v>
      </c>
      <c r="S32" s="15"/>
      <c r="T32" s="15"/>
      <c r="U32" s="15"/>
    </row>
    <row r="33" spans="1:21">
      <c r="A33" s="2">
        <v>31</v>
      </c>
      <c r="B33" s="2" t="s">
        <v>30</v>
      </c>
      <c r="C33" s="3">
        <v>46176</v>
      </c>
      <c r="D33" s="2">
        <v>0.76500000000000001</v>
      </c>
      <c r="E33" s="2"/>
      <c r="F33" s="2"/>
      <c r="P33" s="15" t="s">
        <v>103</v>
      </c>
      <c r="Q33" s="16" t="s">
        <v>104</v>
      </c>
      <c r="R33" s="16">
        <v>0.59599999999999997</v>
      </c>
      <c r="S33" s="15"/>
      <c r="T33" s="15"/>
      <c r="U33" s="15"/>
    </row>
    <row r="34" spans="1:21">
      <c r="A34" s="2">
        <v>32</v>
      </c>
      <c r="B34" s="2" t="s">
        <v>31</v>
      </c>
      <c r="C34" s="3">
        <v>46176</v>
      </c>
      <c r="D34" s="2">
        <v>1.2350000000000001</v>
      </c>
      <c r="E34" s="2"/>
      <c r="F34" s="2"/>
      <c r="P34" s="15" t="s">
        <v>103</v>
      </c>
      <c r="Q34" s="16" t="s">
        <v>105</v>
      </c>
      <c r="R34" s="16">
        <v>1.2889999999999999</v>
      </c>
      <c r="S34" s="15"/>
      <c r="T34" s="15"/>
      <c r="U34" s="15"/>
    </row>
    <row r="35" spans="1:21">
      <c r="A35" s="2">
        <v>33</v>
      </c>
      <c r="B35" s="6" t="s">
        <v>32</v>
      </c>
      <c r="C35" s="3">
        <v>46251</v>
      </c>
      <c r="D35" s="4">
        <v>1.0349999999999999</v>
      </c>
      <c r="E35" s="2"/>
      <c r="F35" s="2"/>
      <c r="P35" s="15" t="s">
        <v>103</v>
      </c>
      <c r="Q35" s="16" t="s">
        <v>106</v>
      </c>
      <c r="R35" s="16">
        <v>1.2390000000000001</v>
      </c>
      <c r="S35" s="15"/>
      <c r="T35" s="15"/>
      <c r="U35" s="15"/>
    </row>
    <row r="36" spans="1:21">
      <c r="A36" s="2">
        <v>34</v>
      </c>
      <c r="B36" s="6" t="s">
        <v>33</v>
      </c>
      <c r="C36" s="3">
        <v>46251</v>
      </c>
      <c r="D36" s="4">
        <v>0.52600000000000002</v>
      </c>
      <c r="E36" s="2"/>
      <c r="F36" s="2"/>
      <c r="P36" s="15" t="s">
        <v>103</v>
      </c>
      <c r="Q36" s="16" t="s">
        <v>107</v>
      </c>
      <c r="R36" s="16">
        <v>3.1890000000000001</v>
      </c>
      <c r="S36" s="15"/>
      <c r="T36" s="15"/>
      <c r="U36" s="15"/>
    </row>
    <row r="37" spans="1:21">
      <c r="A37" s="2">
        <v>35</v>
      </c>
      <c r="B37" s="6" t="s">
        <v>34</v>
      </c>
      <c r="C37" s="3">
        <v>46251</v>
      </c>
      <c r="D37" s="4">
        <v>0.81599999999999995</v>
      </c>
      <c r="E37" s="2"/>
      <c r="F37" s="2"/>
      <c r="P37" s="15" t="s">
        <v>103</v>
      </c>
      <c r="Q37" s="16" t="s">
        <v>108</v>
      </c>
      <c r="R37" s="16">
        <v>1.5249999999999999</v>
      </c>
      <c r="S37" s="15"/>
      <c r="T37" s="15"/>
      <c r="U37" s="15"/>
    </row>
    <row r="38" spans="1:21">
      <c r="A38" s="2">
        <v>36</v>
      </c>
      <c r="B38" s="7" t="s">
        <v>35</v>
      </c>
      <c r="C38" s="3">
        <v>46251</v>
      </c>
      <c r="D38" s="4">
        <v>0.34399999999999997</v>
      </c>
      <c r="E38" s="2"/>
      <c r="F38" s="2"/>
      <c r="P38" s="15" t="s">
        <v>103</v>
      </c>
      <c r="Q38" s="16" t="s">
        <v>75</v>
      </c>
      <c r="R38" s="16">
        <v>0.42399999999999999</v>
      </c>
      <c r="S38" s="15"/>
      <c r="T38" s="15"/>
      <c r="U38" s="15"/>
    </row>
    <row r="39" spans="1:21">
      <c r="A39" s="2">
        <v>37</v>
      </c>
      <c r="B39" s="7" t="s">
        <v>36</v>
      </c>
      <c r="C39" s="3">
        <v>46251</v>
      </c>
      <c r="D39" s="4">
        <v>0.30399999999999999</v>
      </c>
      <c r="E39" s="2"/>
      <c r="F39" s="2"/>
      <c r="P39" s="15" t="s">
        <v>109</v>
      </c>
      <c r="Q39" s="16" t="s">
        <v>110</v>
      </c>
      <c r="R39" s="16">
        <v>2.09</v>
      </c>
      <c r="S39" s="15"/>
      <c r="T39" s="15"/>
      <c r="U39" s="15"/>
    </row>
    <row r="40" spans="1:21">
      <c r="A40" s="2">
        <v>38</v>
      </c>
      <c r="B40" s="7" t="s">
        <v>37</v>
      </c>
      <c r="C40" s="3">
        <v>46251</v>
      </c>
      <c r="D40" s="4">
        <v>0.74399999999999999</v>
      </c>
      <c r="E40" s="2"/>
      <c r="F40" s="2"/>
      <c r="P40" s="15" t="s">
        <v>109</v>
      </c>
      <c r="Q40" s="16" t="s">
        <v>111</v>
      </c>
      <c r="R40" s="16">
        <v>0.81100000000000005</v>
      </c>
      <c r="S40" s="15"/>
      <c r="T40" s="15"/>
      <c r="U40" s="15"/>
    </row>
    <row r="41" spans="1:21">
      <c r="A41" s="2">
        <v>39</v>
      </c>
      <c r="B41" s="8" t="s">
        <v>38</v>
      </c>
      <c r="C41" s="3">
        <v>46251</v>
      </c>
      <c r="D41" s="4">
        <v>0.56299999999999994</v>
      </c>
      <c r="E41" s="2"/>
      <c r="F41" s="2"/>
      <c r="P41" s="15" t="s">
        <v>109</v>
      </c>
      <c r="Q41" s="16" t="s">
        <v>112</v>
      </c>
      <c r="R41" s="16">
        <v>0.33800000000000002</v>
      </c>
      <c r="S41" s="15"/>
      <c r="T41" s="15"/>
      <c r="U41" s="15"/>
    </row>
    <row r="42" spans="1:21">
      <c r="A42" s="2">
        <v>40</v>
      </c>
      <c r="B42" s="8" t="s">
        <v>39</v>
      </c>
      <c r="C42" s="3">
        <v>46251</v>
      </c>
      <c r="D42" s="4">
        <v>0.438</v>
      </c>
      <c r="E42" s="2"/>
      <c r="F42" s="2"/>
      <c r="P42" s="15" t="s">
        <v>109</v>
      </c>
      <c r="Q42" s="16" t="s">
        <v>113</v>
      </c>
      <c r="R42" s="16">
        <v>0.90800000000000003</v>
      </c>
      <c r="S42" s="15"/>
      <c r="T42" s="15"/>
      <c r="U42" s="15"/>
    </row>
    <row r="43" spans="1:21">
      <c r="A43" s="2">
        <v>41</v>
      </c>
      <c r="B43" s="8" t="s">
        <v>40</v>
      </c>
      <c r="C43" s="3">
        <v>46251</v>
      </c>
      <c r="D43" s="4">
        <v>0.45800000000000002</v>
      </c>
      <c r="E43" s="2"/>
      <c r="F43" s="2"/>
      <c r="P43" s="15" t="s">
        <v>109</v>
      </c>
      <c r="Q43" s="16" t="s">
        <v>114</v>
      </c>
      <c r="R43" s="16">
        <v>0.52700000000000002</v>
      </c>
      <c r="S43" s="15"/>
      <c r="T43" s="15"/>
      <c r="U43" s="15"/>
    </row>
    <row r="44" spans="1:21">
      <c r="A44" s="2">
        <v>42</v>
      </c>
      <c r="B44" s="2" t="s">
        <v>41</v>
      </c>
      <c r="C44" s="3">
        <v>46252</v>
      </c>
      <c r="D44" s="2">
        <v>0.55800000000000005</v>
      </c>
      <c r="E44" s="2"/>
      <c r="F44" s="2"/>
      <c r="P44" s="15" t="s">
        <v>109</v>
      </c>
      <c r="Q44" s="16" t="s">
        <v>75</v>
      </c>
      <c r="R44" s="16">
        <v>0.432</v>
      </c>
      <c r="S44" s="15"/>
      <c r="T44" s="15"/>
      <c r="U44" s="15"/>
    </row>
    <row r="45" spans="1:21">
      <c r="A45" s="2">
        <v>43</v>
      </c>
      <c r="B45" s="2" t="s">
        <v>42</v>
      </c>
      <c r="C45" s="3">
        <v>46252</v>
      </c>
      <c r="D45" s="2">
        <v>0.501</v>
      </c>
      <c r="E45" s="2"/>
      <c r="F45" s="2"/>
      <c r="P45" s="15" t="s">
        <v>115</v>
      </c>
      <c r="Q45" s="16" t="s">
        <v>116</v>
      </c>
      <c r="R45" s="16">
        <v>0.51800000000000002</v>
      </c>
      <c r="S45" s="15"/>
      <c r="T45" s="15"/>
      <c r="U45" s="15"/>
    </row>
    <row r="46" spans="1:21">
      <c r="A46" s="2">
        <v>44</v>
      </c>
      <c r="B46" s="2" t="s">
        <v>43</v>
      </c>
      <c r="C46" s="3">
        <v>46252</v>
      </c>
      <c r="D46" s="2">
        <v>1.25</v>
      </c>
      <c r="E46" s="2"/>
      <c r="F46" s="2"/>
      <c r="P46" s="15" t="s">
        <v>115</v>
      </c>
      <c r="Q46" s="16" t="s">
        <v>117</v>
      </c>
      <c r="R46" s="16">
        <v>0.32400000000000001</v>
      </c>
      <c r="S46" s="15"/>
      <c r="T46" s="15"/>
      <c r="U46" s="15"/>
    </row>
    <row r="47" spans="1:21">
      <c r="A47" s="2">
        <v>45</v>
      </c>
      <c r="B47" s="2" t="s">
        <v>44</v>
      </c>
      <c r="C47" s="3">
        <v>46253</v>
      </c>
      <c r="D47" s="2">
        <v>0.35099999999999998</v>
      </c>
      <c r="E47" s="2"/>
      <c r="F47" s="2"/>
      <c r="P47" s="15" t="s">
        <v>115</v>
      </c>
      <c r="Q47" s="16" t="s">
        <v>118</v>
      </c>
      <c r="R47" s="16">
        <v>0.376</v>
      </c>
      <c r="S47" s="15"/>
      <c r="T47" s="15"/>
      <c r="U47" s="15"/>
    </row>
    <row r="48" spans="1:21">
      <c r="A48" s="2">
        <v>46</v>
      </c>
      <c r="B48" s="5" t="s">
        <v>45</v>
      </c>
      <c r="C48" s="3">
        <v>46253</v>
      </c>
      <c r="D48" s="5">
        <v>2.028</v>
      </c>
      <c r="E48" s="2"/>
      <c r="F48" s="2"/>
      <c r="P48" s="15" t="s">
        <v>115</v>
      </c>
      <c r="Q48" s="16" t="s">
        <v>119</v>
      </c>
      <c r="R48" s="16">
        <v>0.24099999999999999</v>
      </c>
      <c r="S48" s="15"/>
      <c r="T48" s="15"/>
      <c r="U48" s="15"/>
    </row>
    <row r="49" spans="1:21">
      <c r="A49" s="2">
        <v>47</v>
      </c>
      <c r="B49" s="5" t="s">
        <v>46</v>
      </c>
      <c r="C49" s="3">
        <v>46253</v>
      </c>
      <c r="D49" s="5">
        <v>1.8380000000000001</v>
      </c>
      <c r="E49" s="2"/>
      <c r="F49" s="2"/>
      <c r="P49" s="15" t="s">
        <v>115</v>
      </c>
      <c r="Q49" s="16" t="s">
        <v>120</v>
      </c>
      <c r="R49" s="16">
        <v>0.45100000000000001</v>
      </c>
      <c r="S49" s="15"/>
      <c r="T49" s="15"/>
      <c r="U49" s="15"/>
    </row>
    <row r="50" spans="1:21">
      <c r="A50" s="2">
        <v>48</v>
      </c>
      <c r="B50" s="5" t="s">
        <v>47</v>
      </c>
      <c r="C50" s="3">
        <v>46253</v>
      </c>
      <c r="D50" s="5">
        <v>1.3220000000000001</v>
      </c>
      <c r="E50" s="2"/>
      <c r="F50" s="2"/>
      <c r="P50" s="15" t="s">
        <v>115</v>
      </c>
      <c r="Q50" s="16" t="s">
        <v>121</v>
      </c>
      <c r="R50" s="16">
        <v>0.27500000000000002</v>
      </c>
      <c r="S50" s="15"/>
      <c r="T50" s="15"/>
      <c r="U50" s="15"/>
    </row>
    <row r="51" spans="1:21">
      <c r="A51" s="2">
        <v>49</v>
      </c>
      <c r="B51" s="2" t="s">
        <v>48</v>
      </c>
      <c r="C51" s="3">
        <v>46253</v>
      </c>
      <c r="D51" s="2">
        <v>0.65100000000000002</v>
      </c>
      <c r="E51" s="2"/>
      <c r="F51" s="2"/>
      <c r="P51" s="15" t="s">
        <v>115</v>
      </c>
      <c r="Q51" s="16" t="s">
        <v>122</v>
      </c>
      <c r="R51" s="16">
        <v>0.69499999999999995</v>
      </c>
      <c r="S51" s="15"/>
      <c r="T51" s="15"/>
      <c r="U51" s="15"/>
    </row>
    <row r="52" spans="1:21">
      <c r="A52" s="2">
        <v>50</v>
      </c>
      <c r="B52" s="2" t="s">
        <v>49</v>
      </c>
      <c r="C52" s="3">
        <v>46253</v>
      </c>
      <c r="D52" s="2">
        <v>0.50600000000000001</v>
      </c>
      <c r="E52" s="2"/>
      <c r="F52" s="2"/>
      <c r="P52" s="15" t="s">
        <v>115</v>
      </c>
      <c r="Q52" s="16" t="s">
        <v>123</v>
      </c>
      <c r="R52" s="16">
        <v>0.38800000000000001</v>
      </c>
      <c r="S52" s="15"/>
      <c r="T52" s="15"/>
      <c r="U52" s="15"/>
    </row>
    <row r="53" spans="1:21">
      <c r="A53" s="2">
        <v>51</v>
      </c>
      <c r="B53" s="2" t="s">
        <v>50</v>
      </c>
      <c r="C53" s="3">
        <v>46253</v>
      </c>
      <c r="D53" s="2">
        <v>0.67300000000000004</v>
      </c>
      <c r="E53" s="2"/>
      <c r="F53" s="2"/>
      <c r="P53" s="15" t="s">
        <v>115</v>
      </c>
      <c r="Q53" s="16" t="s">
        <v>124</v>
      </c>
      <c r="R53" s="16">
        <v>0.187</v>
      </c>
      <c r="S53" s="15"/>
      <c r="T53" s="15"/>
      <c r="U53" s="15"/>
    </row>
    <row r="54" spans="1:21">
      <c r="A54" s="2">
        <v>52</v>
      </c>
      <c r="B54" s="2" t="s">
        <v>51</v>
      </c>
      <c r="C54" s="3">
        <v>46253</v>
      </c>
      <c r="D54" s="2">
        <v>0.66200000000000003</v>
      </c>
      <c r="E54" s="2"/>
      <c r="F54" s="2"/>
      <c r="P54" s="15" t="s">
        <v>115</v>
      </c>
      <c r="Q54" s="16" t="s">
        <v>125</v>
      </c>
      <c r="R54" s="16">
        <v>0.18099999999999999</v>
      </c>
      <c r="S54" s="15"/>
      <c r="T54" s="15"/>
      <c r="U54" s="15"/>
    </row>
    <row r="55" spans="1:21">
      <c r="A55" s="2">
        <v>53</v>
      </c>
      <c r="B55" s="2" t="s">
        <v>52</v>
      </c>
      <c r="C55" s="3">
        <v>46253</v>
      </c>
      <c r="D55" s="2">
        <v>0.55500000000000005</v>
      </c>
      <c r="E55" s="2"/>
      <c r="F55" s="2"/>
      <c r="P55" s="15" t="s">
        <v>115</v>
      </c>
      <c r="Q55" s="16" t="s">
        <v>75</v>
      </c>
      <c r="R55" s="16">
        <v>0.41599999999999998</v>
      </c>
      <c r="S55" s="15"/>
      <c r="T55" s="15"/>
      <c r="U55" s="15"/>
    </row>
    <row r="56" spans="1:21">
      <c r="A56" s="2">
        <v>54</v>
      </c>
      <c r="B56" s="2" t="s">
        <v>53</v>
      </c>
      <c r="C56" s="3">
        <v>46253</v>
      </c>
      <c r="D56" s="2">
        <v>0.81299999999999994</v>
      </c>
      <c r="E56" s="2"/>
      <c r="F56" s="2"/>
      <c r="P56" s="15" t="s">
        <v>126</v>
      </c>
      <c r="Q56" s="16" t="s">
        <v>127</v>
      </c>
      <c r="R56" s="16">
        <v>0.54600000000000004</v>
      </c>
      <c r="S56" s="15"/>
      <c r="T56" s="15"/>
      <c r="U56" s="15"/>
    </row>
    <row r="57" spans="1:21">
      <c r="A57" s="2">
        <v>55</v>
      </c>
      <c r="B57" s="2" t="s">
        <v>54</v>
      </c>
      <c r="C57" s="3">
        <v>46253</v>
      </c>
      <c r="D57" s="2">
        <v>1.147</v>
      </c>
      <c r="E57" s="2"/>
      <c r="F57" s="2"/>
      <c r="P57" s="15" t="s">
        <v>126</v>
      </c>
      <c r="Q57" s="16" t="s">
        <v>128</v>
      </c>
      <c r="R57" s="16">
        <v>0.124</v>
      </c>
      <c r="S57" s="15"/>
      <c r="T57" s="15"/>
      <c r="U57" s="15"/>
    </row>
    <row r="58" spans="1:21">
      <c r="A58" s="2">
        <v>56</v>
      </c>
      <c r="B58" s="2" t="s">
        <v>55</v>
      </c>
      <c r="C58" s="3">
        <v>46253</v>
      </c>
      <c r="D58" s="5">
        <v>1.9410000000000001</v>
      </c>
      <c r="E58" s="2"/>
      <c r="F58" s="2"/>
      <c r="P58" s="15" t="s">
        <v>126</v>
      </c>
      <c r="Q58" s="16" t="s">
        <v>129</v>
      </c>
      <c r="R58" s="16">
        <v>0.05</v>
      </c>
      <c r="S58" s="15"/>
      <c r="T58" s="15"/>
      <c r="U58" s="15"/>
    </row>
    <row r="59" spans="1:21">
      <c r="A59" s="2">
        <v>57</v>
      </c>
      <c r="B59" s="2" t="s">
        <v>56</v>
      </c>
      <c r="C59" s="3">
        <v>46253</v>
      </c>
      <c r="D59" s="2">
        <v>0.48899999999999999</v>
      </c>
      <c r="E59" s="2"/>
      <c r="F59" s="2"/>
      <c r="P59" s="15" t="s">
        <v>126</v>
      </c>
      <c r="Q59" s="16" t="s">
        <v>130</v>
      </c>
      <c r="R59" s="16">
        <v>3.0529999999999999</v>
      </c>
      <c r="S59" s="15"/>
      <c r="T59" s="15"/>
      <c r="U59" s="15"/>
    </row>
    <row r="60" spans="1:21">
      <c r="A60" s="2">
        <v>58</v>
      </c>
      <c r="B60" s="2" t="s">
        <v>57</v>
      </c>
      <c r="C60" s="3">
        <v>46253</v>
      </c>
      <c r="D60" s="2">
        <v>0.55600000000000005</v>
      </c>
      <c r="E60" s="2"/>
      <c r="F60" s="2"/>
      <c r="P60" s="15" t="s">
        <v>126</v>
      </c>
      <c r="Q60" s="16" t="s">
        <v>131</v>
      </c>
      <c r="R60" s="16">
        <v>0.54400000000000004</v>
      </c>
      <c r="S60" s="15"/>
      <c r="T60" s="15"/>
      <c r="U60" s="15"/>
    </row>
    <row r="61" spans="1:21">
      <c r="A61" s="2">
        <v>59</v>
      </c>
      <c r="B61" s="2" t="s">
        <v>58</v>
      </c>
      <c r="C61" s="3">
        <v>46253</v>
      </c>
      <c r="D61" s="5">
        <v>3.032</v>
      </c>
      <c r="E61" s="2"/>
      <c r="F61" s="2"/>
      <c r="P61" s="15" t="s">
        <v>126</v>
      </c>
      <c r="Q61" s="16" t="s">
        <v>132</v>
      </c>
      <c r="R61" s="16">
        <v>0.13</v>
      </c>
      <c r="S61" s="15"/>
      <c r="T61" s="15"/>
      <c r="U61" s="15"/>
    </row>
    <row r="62" spans="1:21">
      <c r="A62" s="2">
        <v>60</v>
      </c>
      <c r="B62" s="2" t="s">
        <v>41</v>
      </c>
      <c r="C62" s="3">
        <v>46253</v>
      </c>
      <c r="D62" s="2">
        <v>0.63200000000000001</v>
      </c>
      <c r="E62" s="2"/>
      <c r="F62" s="2"/>
      <c r="P62" s="15" t="s">
        <v>126</v>
      </c>
      <c r="Q62" s="16" t="s">
        <v>133</v>
      </c>
      <c r="R62" s="16">
        <v>0.38900000000000001</v>
      </c>
      <c r="S62" s="15"/>
      <c r="T62" s="15"/>
      <c r="U62" s="15"/>
    </row>
    <row r="63" spans="1:21">
      <c r="A63" s="2">
        <v>61</v>
      </c>
      <c r="B63" s="2" t="s">
        <v>42</v>
      </c>
      <c r="C63" s="3">
        <v>46253</v>
      </c>
      <c r="D63" s="2">
        <v>1.0429999999999999</v>
      </c>
      <c r="E63" s="2"/>
      <c r="F63" s="2"/>
      <c r="P63" s="15" t="s">
        <v>126</v>
      </c>
      <c r="Q63" s="16" t="s">
        <v>134</v>
      </c>
      <c r="R63" s="16">
        <v>2.9000000000000001E-2</v>
      </c>
      <c r="S63" s="15"/>
      <c r="T63" s="15"/>
      <c r="U63" s="15"/>
    </row>
    <row r="64" spans="1:21">
      <c r="A64" s="2">
        <v>62</v>
      </c>
      <c r="B64" s="2" t="s">
        <v>43</v>
      </c>
      <c r="C64" s="3">
        <v>46253</v>
      </c>
      <c r="D64" s="2">
        <v>1.59</v>
      </c>
      <c r="E64" s="2"/>
      <c r="F64" s="2"/>
      <c r="P64" s="15" t="s">
        <v>126</v>
      </c>
      <c r="Q64" s="16" t="s">
        <v>75</v>
      </c>
      <c r="R64" s="16">
        <v>0.41599999999999998</v>
      </c>
      <c r="S64" s="15"/>
      <c r="T64" s="15"/>
      <c r="U64" s="15"/>
    </row>
    <row r="65" spans="1:21">
      <c r="A65" s="2">
        <v>63</v>
      </c>
      <c r="B65" s="2" t="s">
        <v>59</v>
      </c>
      <c r="C65" s="3">
        <v>46253</v>
      </c>
      <c r="D65" s="2">
        <v>0.33700000000000002</v>
      </c>
      <c r="E65" s="2"/>
      <c r="F65" s="2"/>
      <c r="P65" s="15" t="s">
        <v>135</v>
      </c>
      <c r="Q65" s="16" t="s">
        <v>75</v>
      </c>
      <c r="R65" s="16">
        <v>0.41599999999999998</v>
      </c>
      <c r="S65" s="15"/>
      <c r="T65" s="15"/>
      <c r="U65" s="15"/>
    </row>
    <row r="66" spans="1:21">
      <c r="A66" s="2">
        <v>64</v>
      </c>
      <c r="B66" s="2" t="s">
        <v>60</v>
      </c>
      <c r="C66" s="3">
        <v>46253</v>
      </c>
      <c r="D66" s="2">
        <v>0.252</v>
      </c>
      <c r="E66" s="2"/>
      <c r="F66" s="2"/>
      <c r="P66" s="15" t="s">
        <v>136</v>
      </c>
      <c r="Q66" s="16" t="s">
        <v>137</v>
      </c>
      <c r="R66" s="16">
        <v>8.3000000000000004E-2</v>
      </c>
      <c r="S66" s="15"/>
      <c r="T66" s="15"/>
      <c r="U66" s="15"/>
    </row>
    <row r="67" spans="1:21">
      <c r="A67" s="2">
        <v>65</v>
      </c>
      <c r="B67" s="2" t="s">
        <v>44</v>
      </c>
      <c r="C67" s="3">
        <v>46254</v>
      </c>
      <c r="D67" s="2">
        <v>0.90500000000000003</v>
      </c>
      <c r="E67" s="2"/>
      <c r="F67" s="2"/>
      <c r="P67" s="15" t="s">
        <v>136</v>
      </c>
      <c r="Q67" s="16" t="s">
        <v>75</v>
      </c>
      <c r="R67" s="16">
        <v>0.41599999999999998</v>
      </c>
      <c r="S67" s="15"/>
      <c r="T67" s="15"/>
      <c r="U67" s="15"/>
    </row>
    <row r="68" spans="1:21">
      <c r="A68" s="2">
        <v>66</v>
      </c>
      <c r="B68" s="2" t="s">
        <v>46</v>
      </c>
      <c r="C68" s="3">
        <v>46254</v>
      </c>
      <c r="D68" s="2">
        <v>0.91200000000000003</v>
      </c>
      <c r="E68" s="2"/>
      <c r="F68" s="2"/>
      <c r="P68" s="15" t="s">
        <v>138</v>
      </c>
      <c r="Q68" s="16" t="s">
        <v>139</v>
      </c>
      <c r="R68" s="16">
        <v>0.08</v>
      </c>
      <c r="S68" s="15"/>
      <c r="T68" s="15"/>
      <c r="U68" s="15"/>
    </row>
    <row r="69" spans="1:21">
      <c r="A69" s="2">
        <v>67</v>
      </c>
      <c r="B69" s="2" t="s">
        <v>48</v>
      </c>
      <c r="C69" s="3">
        <v>46254</v>
      </c>
      <c r="D69" s="2">
        <v>0.21199999999999999</v>
      </c>
      <c r="E69" s="2"/>
      <c r="F69" s="2"/>
      <c r="P69" s="15" t="s">
        <v>138</v>
      </c>
      <c r="Q69" s="16" t="s">
        <v>140</v>
      </c>
      <c r="R69" s="16">
        <v>0.107</v>
      </c>
      <c r="S69" s="15"/>
      <c r="T69" s="15"/>
      <c r="U69" s="15"/>
    </row>
    <row r="70" spans="1:21">
      <c r="A70" s="2">
        <v>68</v>
      </c>
      <c r="B70" s="2" t="s">
        <v>50</v>
      </c>
      <c r="C70" s="3">
        <v>46254</v>
      </c>
      <c r="D70" s="2">
        <v>0.32300000000000001</v>
      </c>
      <c r="E70" s="2"/>
      <c r="F70" s="2"/>
      <c r="P70" s="15" t="s">
        <v>138</v>
      </c>
      <c r="Q70" s="16" t="s">
        <v>141</v>
      </c>
      <c r="R70" s="16">
        <v>8.7999999999999995E-2</v>
      </c>
      <c r="S70" s="15"/>
      <c r="T70" s="15"/>
      <c r="U70" s="15"/>
    </row>
    <row r="71" spans="1:21">
      <c r="A71" s="2">
        <v>69</v>
      </c>
      <c r="B71" s="2" t="s">
        <v>52</v>
      </c>
      <c r="C71" s="3">
        <v>46254</v>
      </c>
      <c r="D71" s="2">
        <v>0.63500000000000001</v>
      </c>
      <c r="E71" s="2"/>
      <c r="F71" s="2"/>
      <c r="P71" s="15" t="s">
        <v>138</v>
      </c>
      <c r="Q71" s="16" t="s">
        <v>142</v>
      </c>
      <c r="R71" s="16">
        <v>0.16300000000000001</v>
      </c>
      <c r="S71" s="15"/>
      <c r="T71" s="15"/>
      <c r="U71" s="15"/>
    </row>
    <row r="72" spans="1:21">
      <c r="A72" s="2">
        <v>70</v>
      </c>
      <c r="B72" s="2" t="s">
        <v>54</v>
      </c>
      <c r="C72" s="3">
        <v>46254</v>
      </c>
      <c r="D72" s="2">
        <v>0.45500000000000002</v>
      </c>
      <c r="E72" s="2"/>
      <c r="F72" s="2"/>
      <c r="P72" s="15" t="s">
        <v>138</v>
      </c>
      <c r="Q72" s="16" t="s">
        <v>143</v>
      </c>
      <c r="R72" s="16">
        <v>0.159</v>
      </c>
      <c r="S72" s="15"/>
      <c r="T72" s="15"/>
      <c r="U72" s="15"/>
    </row>
    <row r="73" spans="1:21">
      <c r="A73" s="2">
        <v>71</v>
      </c>
      <c r="B73" s="2" t="s">
        <v>56</v>
      </c>
      <c r="C73" s="3">
        <v>46254</v>
      </c>
      <c r="D73" s="2">
        <v>9.9000000000000005E-2</v>
      </c>
      <c r="E73" s="2"/>
      <c r="F73" s="2"/>
      <c r="P73" s="15" t="s">
        <v>138</v>
      </c>
      <c r="Q73" s="16" t="s">
        <v>144</v>
      </c>
      <c r="R73" s="16">
        <v>0.156</v>
      </c>
      <c r="S73" s="15"/>
      <c r="T73" s="15"/>
      <c r="U73" s="15"/>
    </row>
    <row r="74" spans="1:21">
      <c r="A74" s="2">
        <v>72</v>
      </c>
      <c r="B74" s="2" t="s">
        <v>58</v>
      </c>
      <c r="C74" s="3">
        <v>46254</v>
      </c>
      <c r="D74" s="2">
        <v>0.69599999999999995</v>
      </c>
      <c r="E74" s="2"/>
      <c r="F74" s="2"/>
      <c r="P74" s="15" t="s">
        <v>138</v>
      </c>
      <c r="Q74" s="16" t="s">
        <v>145</v>
      </c>
      <c r="R74" s="16">
        <v>0.23400000000000001</v>
      </c>
      <c r="S74" s="15"/>
      <c r="T74" s="15"/>
      <c r="U74" s="15"/>
    </row>
    <row r="75" spans="1:21">
      <c r="A75" s="2">
        <v>73</v>
      </c>
      <c r="B75" s="2" t="s">
        <v>42</v>
      </c>
      <c r="C75" s="3">
        <v>46254</v>
      </c>
      <c r="D75" s="2">
        <v>0.34</v>
      </c>
      <c r="E75" s="2"/>
      <c r="F75" s="2"/>
      <c r="P75" s="15" t="s">
        <v>138</v>
      </c>
      <c r="Q75" s="16" t="s">
        <v>146</v>
      </c>
      <c r="R75" s="16">
        <v>0.20499999999999999</v>
      </c>
      <c r="S75" s="15"/>
      <c r="T75" s="15"/>
      <c r="U75" s="15"/>
    </row>
    <row r="76" spans="1:21">
      <c r="A76" s="2">
        <v>74</v>
      </c>
      <c r="B76" s="2" t="s">
        <v>59</v>
      </c>
      <c r="C76" s="3">
        <v>46254</v>
      </c>
      <c r="D76" s="2">
        <v>0.98199999999999998</v>
      </c>
      <c r="E76" s="2"/>
      <c r="F76" s="2"/>
      <c r="P76" s="15" t="s">
        <v>138</v>
      </c>
      <c r="Q76" s="16" t="s">
        <v>147</v>
      </c>
      <c r="R76" s="16">
        <v>0.56299999999999994</v>
      </c>
      <c r="S76" s="15"/>
      <c r="T76" s="15"/>
      <c r="U76" s="15"/>
    </row>
    <row r="77" spans="1:21">
      <c r="A77" s="2">
        <v>75</v>
      </c>
      <c r="B77" s="2" t="s">
        <v>61</v>
      </c>
      <c r="C77" s="3">
        <v>46254</v>
      </c>
      <c r="D77" s="2">
        <v>1.0880000000000001</v>
      </c>
      <c r="E77" s="2"/>
      <c r="F77" s="2"/>
      <c r="P77" s="15" t="s">
        <v>138</v>
      </c>
      <c r="Q77" s="16" t="s">
        <v>148</v>
      </c>
      <c r="R77" s="16">
        <v>0.65700000000000003</v>
      </c>
      <c r="S77" s="15"/>
      <c r="T77" s="15"/>
      <c r="U77" s="15"/>
    </row>
    <row r="78" spans="1:21">
      <c r="A78" s="2">
        <v>76</v>
      </c>
      <c r="B78" s="2" t="s">
        <v>44</v>
      </c>
      <c r="C78" s="3">
        <v>46255</v>
      </c>
      <c r="D78" s="2">
        <v>0.57399999999999995</v>
      </c>
      <c r="E78" s="2"/>
      <c r="F78" s="2"/>
      <c r="P78" s="15" t="s">
        <v>138</v>
      </c>
      <c r="Q78" s="16" t="s">
        <v>149</v>
      </c>
      <c r="R78" s="16">
        <v>0.40899999999999997</v>
      </c>
      <c r="S78" s="15"/>
      <c r="T78" s="15"/>
      <c r="U78" s="15"/>
    </row>
    <row r="79" spans="1:21">
      <c r="A79" s="2">
        <v>77</v>
      </c>
      <c r="B79" s="2" t="s">
        <v>46</v>
      </c>
      <c r="C79" s="3">
        <v>46255</v>
      </c>
      <c r="D79" s="2">
        <v>0.35399999999999998</v>
      </c>
      <c r="E79" s="2"/>
      <c r="F79" s="2"/>
      <c r="P79" s="15" t="s">
        <v>138</v>
      </c>
      <c r="Q79" s="16" t="s">
        <v>150</v>
      </c>
      <c r="R79" s="16">
        <v>0.54300000000000004</v>
      </c>
      <c r="S79" s="15"/>
      <c r="T79" s="15"/>
      <c r="U79" s="15"/>
    </row>
    <row r="80" spans="1:21">
      <c r="A80" s="2">
        <v>78</v>
      </c>
      <c r="B80" s="2" t="s">
        <v>48</v>
      </c>
      <c r="C80" s="3">
        <v>46255</v>
      </c>
      <c r="D80" s="2">
        <v>0.80200000000000005</v>
      </c>
      <c r="E80" s="2"/>
      <c r="F80" s="2"/>
      <c r="P80" s="15" t="s">
        <v>138</v>
      </c>
      <c r="Q80" s="16" t="s">
        <v>151</v>
      </c>
      <c r="R80" s="16">
        <v>0.61699999999999999</v>
      </c>
      <c r="S80" s="15"/>
      <c r="T80" s="15"/>
      <c r="U80" s="15"/>
    </row>
    <row r="81" spans="1:21">
      <c r="A81" s="2">
        <v>79</v>
      </c>
      <c r="B81" s="2" t="s">
        <v>50</v>
      </c>
      <c r="C81" s="3">
        <v>46255</v>
      </c>
      <c r="D81" s="2">
        <v>0.16</v>
      </c>
      <c r="E81" s="2"/>
      <c r="F81" s="2"/>
      <c r="P81" s="15" t="s">
        <v>138</v>
      </c>
      <c r="Q81" s="16" t="s">
        <v>152</v>
      </c>
      <c r="R81" s="16">
        <v>0.495</v>
      </c>
      <c r="S81" s="15"/>
      <c r="T81" s="15"/>
      <c r="U81" s="15"/>
    </row>
    <row r="82" spans="1:21">
      <c r="A82" s="2">
        <v>80</v>
      </c>
      <c r="B82" s="2" t="s">
        <v>52</v>
      </c>
      <c r="C82" s="3">
        <v>46255</v>
      </c>
      <c r="D82" s="2">
        <v>0.96199999999999997</v>
      </c>
      <c r="E82" s="2"/>
      <c r="F82" s="2"/>
      <c r="P82" s="15" t="s">
        <v>138</v>
      </c>
      <c r="Q82" s="16" t="s">
        <v>153</v>
      </c>
      <c r="R82" s="16">
        <v>0.57099999999999995</v>
      </c>
      <c r="S82" s="15"/>
      <c r="T82" s="15"/>
      <c r="U82" s="15"/>
    </row>
    <row r="83" spans="1:21">
      <c r="A83" s="2">
        <v>81</v>
      </c>
      <c r="B83" s="2" t="s">
        <v>54</v>
      </c>
      <c r="C83" s="3">
        <v>46255</v>
      </c>
      <c r="D83" s="2">
        <v>0.42199999999999999</v>
      </c>
      <c r="E83" s="2"/>
      <c r="F83" s="2"/>
      <c r="P83" s="15" t="s">
        <v>138</v>
      </c>
      <c r="Q83" s="16" t="s">
        <v>154</v>
      </c>
      <c r="R83" s="16">
        <v>0.61899999999999999</v>
      </c>
      <c r="S83" s="15"/>
      <c r="T83" s="15"/>
      <c r="U83" s="15"/>
    </row>
    <row r="84" spans="1:21">
      <c r="A84" s="2">
        <v>82</v>
      </c>
      <c r="B84" s="2" t="s">
        <v>56</v>
      </c>
      <c r="C84" s="3">
        <v>46255</v>
      </c>
      <c r="D84" s="2">
        <v>0.16700000000000001</v>
      </c>
      <c r="E84" s="2"/>
      <c r="F84" s="2"/>
      <c r="P84" s="15" t="s">
        <v>138</v>
      </c>
      <c r="Q84" s="16" t="s">
        <v>155</v>
      </c>
      <c r="R84" s="16">
        <v>0.59699999999999998</v>
      </c>
      <c r="S84" s="15"/>
      <c r="T84" s="15"/>
      <c r="U84" s="15"/>
    </row>
    <row r="85" spans="1:21">
      <c r="A85" s="2">
        <v>83</v>
      </c>
      <c r="B85" s="2" t="s">
        <v>58</v>
      </c>
      <c r="C85" s="3">
        <v>46255</v>
      </c>
      <c r="D85" s="2">
        <v>0.31</v>
      </c>
      <c r="E85" s="2"/>
      <c r="F85" s="2"/>
      <c r="P85" s="15" t="s">
        <v>138</v>
      </c>
      <c r="Q85" s="16" t="s">
        <v>156</v>
      </c>
      <c r="R85" s="16">
        <v>0.96199999999999997</v>
      </c>
      <c r="S85" s="15"/>
      <c r="T85" s="15"/>
      <c r="U85" s="15"/>
    </row>
    <row r="86" spans="1:21">
      <c r="A86" s="2">
        <v>84</v>
      </c>
      <c r="B86" s="2" t="s">
        <v>42</v>
      </c>
      <c r="C86" s="3">
        <v>46255</v>
      </c>
      <c r="D86" s="2">
        <v>0.23100000000000001</v>
      </c>
      <c r="E86" s="2"/>
      <c r="F86" s="2"/>
      <c r="P86" s="15" t="s">
        <v>138</v>
      </c>
      <c r="Q86" s="16" t="s">
        <v>157</v>
      </c>
      <c r="R86" s="16">
        <v>0.45</v>
      </c>
      <c r="S86" s="15"/>
      <c r="T86" s="15"/>
      <c r="U86" s="15"/>
    </row>
    <row r="87" spans="1:21">
      <c r="P87" s="15" t="s">
        <v>138</v>
      </c>
      <c r="Q87" s="16" t="s">
        <v>158</v>
      </c>
      <c r="R87" s="16">
        <v>0.66</v>
      </c>
      <c r="S87" s="15"/>
      <c r="T87" s="15"/>
      <c r="U87" s="15"/>
    </row>
    <row r="88" spans="1:21">
      <c r="P88" s="15" t="s">
        <v>138</v>
      </c>
      <c r="Q88" s="16" t="s">
        <v>75</v>
      </c>
      <c r="R88" s="16">
        <v>0.46500000000000002</v>
      </c>
      <c r="S88" s="15"/>
      <c r="T88" s="15"/>
      <c r="U88" s="15"/>
    </row>
    <row r="89" spans="1:21">
      <c r="P89" s="15" t="s">
        <v>159</v>
      </c>
      <c r="Q89" s="16" t="s">
        <v>160</v>
      </c>
      <c r="R89" s="16">
        <v>0.76300000000000001</v>
      </c>
      <c r="S89" s="15"/>
      <c r="T89" s="15"/>
      <c r="U89" s="15"/>
    </row>
    <row r="90" spans="1:21">
      <c r="P90" s="15" t="s">
        <v>159</v>
      </c>
      <c r="Q90" s="16" t="s">
        <v>161</v>
      </c>
      <c r="R90" s="16">
        <v>0.307</v>
      </c>
      <c r="S90" s="15"/>
      <c r="T90" s="15"/>
      <c r="U90" s="15"/>
    </row>
    <row r="91" spans="1:21">
      <c r="P91" s="15" t="s">
        <v>159</v>
      </c>
      <c r="Q91" s="16" t="s">
        <v>162</v>
      </c>
      <c r="R91" s="16">
        <v>0.502</v>
      </c>
      <c r="S91" s="15"/>
      <c r="T91" s="15"/>
      <c r="U91" s="15"/>
    </row>
    <row r="92" spans="1:21">
      <c r="P92" s="15" t="s">
        <v>159</v>
      </c>
      <c r="Q92" s="16" t="s">
        <v>163</v>
      </c>
      <c r="R92" s="16">
        <v>0.65800000000000003</v>
      </c>
      <c r="S92" s="15"/>
      <c r="T92" s="15"/>
      <c r="U92" s="15"/>
    </row>
    <row r="93" spans="1:21">
      <c r="P93" s="15" t="s">
        <v>159</v>
      </c>
      <c r="Q93" s="16" t="s">
        <v>164</v>
      </c>
      <c r="R93" s="16">
        <v>0.46500000000000002</v>
      </c>
      <c r="S93" s="15"/>
      <c r="T93" s="15"/>
      <c r="U93" s="15"/>
    </row>
    <row r="94" spans="1:21">
      <c r="P94" s="15" t="s">
        <v>159</v>
      </c>
      <c r="Q94" s="16" t="s">
        <v>165</v>
      </c>
      <c r="R94" s="16">
        <v>0.66</v>
      </c>
      <c r="S94" s="15"/>
      <c r="T94" s="15"/>
      <c r="U94" s="15"/>
    </row>
    <row r="95" spans="1:21">
      <c r="P95" s="15" t="s">
        <v>159</v>
      </c>
      <c r="Q95" s="16" t="s">
        <v>166</v>
      </c>
      <c r="R95" s="16">
        <v>0.60299999999999998</v>
      </c>
      <c r="S95" s="15"/>
      <c r="T95" s="15"/>
      <c r="U95" s="15"/>
    </row>
    <row r="96" spans="1:21">
      <c r="P96" s="15" t="s">
        <v>159</v>
      </c>
      <c r="Q96" s="16" t="s">
        <v>167</v>
      </c>
      <c r="R96" s="16">
        <v>1.042</v>
      </c>
      <c r="S96" s="15"/>
      <c r="T96" s="15"/>
      <c r="U96" s="15"/>
    </row>
    <row r="97" spans="16:21">
      <c r="P97" s="15" t="s">
        <v>159</v>
      </c>
      <c r="Q97" s="16" t="s">
        <v>168</v>
      </c>
      <c r="R97" s="16">
        <v>0.27500000000000002</v>
      </c>
      <c r="S97" s="15"/>
      <c r="T97" s="15"/>
      <c r="U97" s="15"/>
    </row>
    <row r="98" spans="16:21">
      <c r="P98" s="15" t="s">
        <v>159</v>
      </c>
      <c r="Q98" s="16" t="s">
        <v>169</v>
      </c>
      <c r="R98" s="16">
        <v>0.751</v>
      </c>
      <c r="S98" s="15"/>
      <c r="T98" s="15"/>
      <c r="U98" s="15"/>
    </row>
    <row r="99" spans="16:21">
      <c r="P99" s="15" t="s">
        <v>159</v>
      </c>
      <c r="Q99" s="16" t="s">
        <v>75</v>
      </c>
      <c r="R99" s="16">
        <v>0.434</v>
      </c>
      <c r="S99" s="15"/>
      <c r="T99" s="15"/>
      <c r="U99" s="15"/>
    </row>
    <row r="100" spans="16:21">
      <c r="P100" s="15" t="s">
        <v>159</v>
      </c>
      <c r="Q100" s="16" t="s">
        <v>94</v>
      </c>
      <c r="R100" s="16">
        <v>1.0740000000000001</v>
      </c>
      <c r="S100" s="15"/>
      <c r="T100" s="15"/>
      <c r="U100" s="15"/>
    </row>
    <row r="101" spans="16:21">
      <c r="P101" s="15" t="s">
        <v>170</v>
      </c>
      <c r="Q101" s="16" t="s">
        <v>75</v>
      </c>
      <c r="R101" s="16">
        <v>0.434</v>
      </c>
      <c r="S101" s="15"/>
      <c r="T101" s="15"/>
      <c r="U101" s="15"/>
    </row>
    <row r="102" spans="16:21">
      <c r="P102" s="15" t="s">
        <v>170</v>
      </c>
      <c r="Q102" s="16" t="s">
        <v>94</v>
      </c>
      <c r="R102" s="16">
        <v>1.0740000000000001</v>
      </c>
      <c r="S102" s="15"/>
      <c r="T102" s="15"/>
      <c r="U102" s="15"/>
    </row>
    <row r="103" spans="16:21">
      <c r="P103" s="15" t="s">
        <v>171</v>
      </c>
      <c r="Q103" s="16" t="s">
        <v>172</v>
      </c>
      <c r="R103" s="16">
        <v>0.153</v>
      </c>
      <c r="S103" s="15"/>
      <c r="T103" s="15"/>
      <c r="U103" s="15"/>
    </row>
    <row r="104" spans="16:21">
      <c r="P104" s="15" t="s">
        <v>171</v>
      </c>
      <c r="Q104" s="16" t="s">
        <v>173</v>
      </c>
      <c r="R104" s="16">
        <v>0.57999999999999996</v>
      </c>
      <c r="S104" s="15"/>
      <c r="T104" s="15"/>
      <c r="U104" s="15"/>
    </row>
    <row r="105" spans="16:21">
      <c r="P105" s="15" t="s">
        <v>171</v>
      </c>
      <c r="Q105" s="16" t="s">
        <v>174</v>
      </c>
      <c r="R105" s="16">
        <v>0.107</v>
      </c>
      <c r="S105" s="15"/>
      <c r="T105" s="15"/>
      <c r="U105" s="15"/>
    </row>
    <row r="106" spans="16:21">
      <c r="P106" s="15" t="s">
        <v>171</v>
      </c>
      <c r="Q106" s="16" t="s">
        <v>75</v>
      </c>
      <c r="R106" s="16">
        <v>0.434</v>
      </c>
      <c r="S106" s="15"/>
      <c r="T106" s="15"/>
      <c r="U106" s="15"/>
    </row>
    <row r="107" spans="16:21">
      <c r="P107" s="15" t="s">
        <v>175</v>
      </c>
      <c r="Q107" s="16" t="s">
        <v>176</v>
      </c>
      <c r="R107" s="16">
        <v>0.78200000000000003</v>
      </c>
      <c r="S107" s="15"/>
      <c r="T107" s="15"/>
      <c r="U107" s="15"/>
    </row>
    <row r="108" spans="16:21">
      <c r="P108" s="15" t="s">
        <v>175</v>
      </c>
      <c r="Q108" s="16" t="s">
        <v>177</v>
      </c>
      <c r="R108" s="16">
        <v>2.8079999999999998</v>
      </c>
      <c r="S108" s="15"/>
      <c r="T108" s="15"/>
      <c r="U108" s="15"/>
    </row>
    <row r="109" spans="16:21">
      <c r="P109" s="15" t="s">
        <v>175</v>
      </c>
      <c r="Q109" s="16" t="s">
        <v>94</v>
      </c>
      <c r="R109" s="16">
        <v>1.0740000000000001</v>
      </c>
      <c r="S109" s="15"/>
      <c r="T109" s="15"/>
      <c r="U109" s="15"/>
    </row>
    <row r="110" spans="16:21">
      <c r="P110" s="15" t="s">
        <v>178</v>
      </c>
      <c r="Q110" s="16" t="s">
        <v>179</v>
      </c>
      <c r="R110" s="16">
        <v>0.30499999999999999</v>
      </c>
      <c r="S110" s="15"/>
      <c r="T110" s="15"/>
      <c r="U110" s="15"/>
    </row>
    <row r="111" spans="16:21">
      <c r="P111" s="15" t="s">
        <v>178</v>
      </c>
      <c r="Q111" s="16" t="s">
        <v>180</v>
      </c>
      <c r="R111" s="16">
        <v>0.499</v>
      </c>
      <c r="S111" s="15"/>
      <c r="T111" s="15"/>
      <c r="U111" s="15"/>
    </row>
    <row r="112" spans="16:21">
      <c r="P112" s="15" t="s">
        <v>178</v>
      </c>
      <c r="Q112" s="16" t="s">
        <v>181</v>
      </c>
      <c r="R112" s="16">
        <v>0.91500000000000004</v>
      </c>
      <c r="S112" s="15"/>
      <c r="T112" s="15"/>
      <c r="U112" s="15"/>
    </row>
    <row r="113" spans="16:21">
      <c r="P113" s="15" t="s">
        <v>178</v>
      </c>
      <c r="Q113" s="16" t="s">
        <v>182</v>
      </c>
      <c r="R113" s="16">
        <v>0.34399999999999997</v>
      </c>
      <c r="S113" s="15"/>
      <c r="T113" s="15"/>
      <c r="U113" s="15"/>
    </row>
    <row r="114" spans="16:21">
      <c r="P114" s="15" t="s">
        <v>178</v>
      </c>
      <c r="Q114" s="16" t="s">
        <v>183</v>
      </c>
      <c r="R114" s="16">
        <v>0.751</v>
      </c>
      <c r="S114" s="15"/>
      <c r="T114" s="15"/>
      <c r="U114" s="15"/>
    </row>
    <row r="115" spans="16:21">
      <c r="P115" s="15" t="s">
        <v>178</v>
      </c>
      <c r="Q115" s="16" t="s">
        <v>184</v>
      </c>
      <c r="R115" s="16">
        <v>0.38300000000000001</v>
      </c>
      <c r="S115" s="15"/>
      <c r="T115" s="15"/>
      <c r="U115" s="15"/>
    </row>
    <row r="116" spans="16:21">
      <c r="P116" s="15" t="s">
        <v>178</v>
      </c>
      <c r="Q116" s="16" t="s">
        <v>185</v>
      </c>
      <c r="R116" s="16">
        <v>0.40100000000000002</v>
      </c>
      <c r="S116" s="15"/>
      <c r="T116" s="15"/>
      <c r="U116" s="15"/>
    </row>
    <row r="117" spans="16:21">
      <c r="P117" s="15" t="s">
        <v>178</v>
      </c>
      <c r="Q117" s="16" t="s">
        <v>186</v>
      </c>
      <c r="R117" s="16">
        <v>0.33500000000000002</v>
      </c>
      <c r="S117" s="15"/>
      <c r="T117" s="15"/>
      <c r="U117" s="15"/>
    </row>
    <row r="118" spans="16:21">
      <c r="P118" s="15" t="s">
        <v>178</v>
      </c>
      <c r="Q118" s="16" t="s">
        <v>187</v>
      </c>
      <c r="R118" s="16">
        <v>0.35699999999999998</v>
      </c>
      <c r="S118" s="15"/>
      <c r="T118" s="15"/>
      <c r="U118" s="15"/>
    </row>
    <row r="119" spans="16:21">
      <c r="P119" s="15" t="s">
        <v>178</v>
      </c>
      <c r="Q119" s="16" t="s">
        <v>188</v>
      </c>
      <c r="R119" s="16">
        <v>0.73799999999999999</v>
      </c>
      <c r="S119" s="15"/>
      <c r="T119" s="15"/>
      <c r="U119" s="15"/>
    </row>
    <row r="120" spans="16:21">
      <c r="P120" s="15" t="s">
        <v>178</v>
      </c>
      <c r="Q120" s="16" t="s">
        <v>75</v>
      </c>
      <c r="R120" s="16">
        <v>0.46600000000000003</v>
      </c>
      <c r="S120" s="15"/>
      <c r="T120" s="15"/>
      <c r="U120" s="15"/>
    </row>
    <row r="121" spans="16:21">
      <c r="P121" s="15" t="s">
        <v>189</v>
      </c>
      <c r="Q121" s="16" t="s">
        <v>190</v>
      </c>
      <c r="R121" s="16">
        <v>0.32700000000000001</v>
      </c>
      <c r="S121" s="15"/>
      <c r="T121" s="15"/>
      <c r="U121" s="15"/>
    </row>
    <row r="122" spans="16:21">
      <c r="P122" s="15" t="s">
        <v>189</v>
      </c>
      <c r="Q122" s="16" t="s">
        <v>191</v>
      </c>
      <c r="R122" s="16">
        <v>0.29499999999999998</v>
      </c>
      <c r="S122" s="15"/>
      <c r="T122" s="15"/>
      <c r="U122" s="15"/>
    </row>
    <row r="123" spans="16:21">
      <c r="P123" s="15" t="s">
        <v>189</v>
      </c>
      <c r="Q123" s="16" t="s">
        <v>192</v>
      </c>
      <c r="R123" s="16">
        <v>0.36299999999999999</v>
      </c>
      <c r="S123" s="15"/>
      <c r="T123" s="15"/>
      <c r="U123" s="15"/>
    </row>
    <row r="124" spans="16:21">
      <c r="P124" s="15" t="s">
        <v>189</v>
      </c>
      <c r="Q124" s="16" t="s">
        <v>75</v>
      </c>
      <c r="R124" s="16">
        <v>0.46600000000000003</v>
      </c>
      <c r="S124" s="15"/>
      <c r="T124" s="15"/>
      <c r="U124" s="15"/>
    </row>
    <row r="125" spans="16:21">
      <c r="P125" s="15" t="s">
        <v>193</v>
      </c>
      <c r="Q125" s="16" t="s">
        <v>194</v>
      </c>
      <c r="R125" s="16">
        <v>0.20599999999999999</v>
      </c>
      <c r="S125" s="15"/>
      <c r="T125" s="15"/>
      <c r="U125" s="15"/>
    </row>
    <row r="126" spans="16:21">
      <c r="P126" s="15" t="s">
        <v>193</v>
      </c>
      <c r="Q126" s="16" t="s">
        <v>195</v>
      </c>
      <c r="R126" s="16">
        <v>3.5000000000000003E-2</v>
      </c>
      <c r="S126" s="15"/>
      <c r="T126" s="15"/>
      <c r="U126" s="15"/>
    </row>
    <row r="127" spans="16:21">
      <c r="P127" s="15" t="s">
        <v>193</v>
      </c>
      <c r="Q127" s="16" t="s">
        <v>196</v>
      </c>
      <c r="R127" s="16">
        <v>22.738</v>
      </c>
      <c r="S127" s="15"/>
      <c r="T127" s="15"/>
      <c r="U127" s="15"/>
    </row>
    <row r="128" spans="16:21">
      <c r="P128" s="15" t="s">
        <v>193</v>
      </c>
      <c r="Q128" s="16" t="s">
        <v>197</v>
      </c>
      <c r="R128" s="16">
        <v>0.151</v>
      </c>
      <c r="S128" s="15"/>
      <c r="T128" s="15"/>
      <c r="U128" s="15"/>
    </row>
    <row r="129" spans="16:21">
      <c r="P129" s="15" t="s">
        <v>193</v>
      </c>
      <c r="Q129" s="16" t="s">
        <v>198</v>
      </c>
      <c r="R129" s="16">
        <v>1.2E-2</v>
      </c>
      <c r="S129" s="15"/>
      <c r="T129" s="15"/>
      <c r="U129" s="15"/>
    </row>
    <row r="130" spans="16:21">
      <c r="P130" s="15" t="s">
        <v>193</v>
      </c>
      <c r="Q130" s="16" t="s">
        <v>199</v>
      </c>
      <c r="R130" s="16">
        <v>10.538</v>
      </c>
      <c r="S130" s="15"/>
      <c r="T130" s="15"/>
      <c r="U130" s="15"/>
    </row>
    <row r="131" spans="16:21">
      <c r="P131" s="15" t="s">
        <v>193</v>
      </c>
      <c r="Q131" s="16" t="s">
        <v>200</v>
      </c>
      <c r="R131" s="16">
        <v>52.48</v>
      </c>
      <c r="S131" s="15"/>
      <c r="T131" s="15"/>
      <c r="U131" s="15"/>
    </row>
    <row r="132" spans="16:21">
      <c r="P132" s="15" t="s">
        <v>193</v>
      </c>
      <c r="Q132" s="16" t="s">
        <v>94</v>
      </c>
      <c r="R132" s="16">
        <v>1.085</v>
      </c>
      <c r="S132" s="15"/>
      <c r="T132" s="15"/>
      <c r="U132" s="15"/>
    </row>
    <row r="133" spans="16:21">
      <c r="P133" s="15" t="s">
        <v>201</v>
      </c>
      <c r="Q133" s="16" t="s">
        <v>202</v>
      </c>
      <c r="R133" s="16">
        <v>5.5E-2</v>
      </c>
      <c r="S133" s="15"/>
      <c r="T133" s="15"/>
      <c r="U133" s="15"/>
    </row>
    <row r="134" spans="16:21">
      <c r="P134" s="15" t="s">
        <v>201</v>
      </c>
      <c r="Q134" s="16" t="s">
        <v>203</v>
      </c>
      <c r="R134" s="16">
        <v>7.2999999999999995E-2</v>
      </c>
      <c r="S134" s="15"/>
      <c r="T134" s="15"/>
      <c r="U134" s="15"/>
    </row>
    <row r="135" spans="16:21">
      <c r="P135" s="15" t="s">
        <v>201</v>
      </c>
      <c r="Q135" s="16" t="s">
        <v>204</v>
      </c>
      <c r="R135" s="16">
        <v>1.6E-2</v>
      </c>
      <c r="S135" s="15"/>
      <c r="T135" s="15"/>
      <c r="U135" s="15"/>
    </row>
    <row r="136" spans="16:21">
      <c r="P136" s="15" t="s">
        <v>201</v>
      </c>
      <c r="Q136" s="16" t="s">
        <v>205</v>
      </c>
      <c r="R136" s="16">
        <v>1.0999999999999999E-2</v>
      </c>
      <c r="S136" s="15"/>
      <c r="T136" s="15"/>
      <c r="U136" s="15"/>
    </row>
    <row r="137" spans="16:21">
      <c r="P137" s="15" t="s">
        <v>201</v>
      </c>
      <c r="Q137" s="16" t="s">
        <v>206</v>
      </c>
      <c r="R137" s="16">
        <v>1.6E-2</v>
      </c>
      <c r="S137" s="15"/>
      <c r="T137" s="15"/>
      <c r="U137" s="15"/>
    </row>
    <row r="138" spans="16:21">
      <c r="P138" s="15" t="s">
        <v>201</v>
      </c>
      <c r="Q138" s="16" t="s">
        <v>207</v>
      </c>
      <c r="R138" s="16">
        <v>4.3999999999999997E-2</v>
      </c>
      <c r="S138" s="15"/>
      <c r="T138" s="15"/>
      <c r="U138" s="15"/>
    </row>
    <row r="139" spans="16:21">
      <c r="P139" s="15" t="s">
        <v>201</v>
      </c>
      <c r="Q139" s="16" t="s">
        <v>208</v>
      </c>
      <c r="R139" s="16">
        <v>1.2E-2</v>
      </c>
      <c r="S139" s="15"/>
      <c r="T139" s="15"/>
      <c r="U139" s="15"/>
    </row>
    <row r="140" spans="16:21">
      <c r="P140" s="15" t="s">
        <v>201</v>
      </c>
      <c r="Q140" s="16" t="s">
        <v>209</v>
      </c>
      <c r="R140" s="16">
        <v>1.7999999999999999E-2</v>
      </c>
      <c r="S140" s="15"/>
      <c r="T140" s="15"/>
      <c r="U140" s="15"/>
    </row>
    <row r="141" spans="16:21">
      <c r="P141" s="15" t="s">
        <v>201</v>
      </c>
      <c r="Q141" s="16" t="s">
        <v>210</v>
      </c>
      <c r="R141" s="16">
        <v>9.9000000000000005E-2</v>
      </c>
      <c r="S141" s="15"/>
      <c r="T141" s="15"/>
      <c r="U141" s="15"/>
    </row>
    <row r="142" spans="16:21">
      <c r="P142" s="15" t="s">
        <v>201</v>
      </c>
      <c r="Q142" s="16" t="s">
        <v>75</v>
      </c>
      <c r="R142" s="16">
        <v>0.41899999999999998</v>
      </c>
      <c r="S142" s="15"/>
      <c r="T142" s="15"/>
      <c r="U142" s="15"/>
    </row>
    <row r="143" spans="16:21">
      <c r="P143" s="15" t="s">
        <v>211</v>
      </c>
      <c r="Q143" s="16" t="s">
        <v>212</v>
      </c>
      <c r="R143" s="16">
        <v>3.5999999999999997E-2</v>
      </c>
      <c r="S143" s="15"/>
      <c r="T143" s="15"/>
      <c r="U143" s="15"/>
    </row>
    <row r="144" spans="16:21">
      <c r="P144" s="15" t="s">
        <v>211</v>
      </c>
      <c r="Q144" s="16" t="s">
        <v>213</v>
      </c>
      <c r="R144" s="16">
        <v>4.2000000000000003E-2</v>
      </c>
      <c r="S144" s="15"/>
      <c r="T144" s="15"/>
      <c r="U144" s="15"/>
    </row>
    <row r="145" spans="16:21">
      <c r="P145" s="15" t="s">
        <v>211</v>
      </c>
      <c r="Q145" s="16" t="s">
        <v>75</v>
      </c>
      <c r="R145" s="16">
        <v>0.41899999999999998</v>
      </c>
      <c r="S145" s="15"/>
      <c r="T145" s="15"/>
      <c r="U145" s="15"/>
    </row>
    <row r="146" spans="16:21">
      <c r="P146" s="15" t="s">
        <v>214</v>
      </c>
      <c r="Q146" s="16" t="s">
        <v>75</v>
      </c>
      <c r="R146" s="16">
        <v>0.46600000000000003</v>
      </c>
      <c r="S146" s="15"/>
      <c r="T146" s="15"/>
      <c r="U146" s="15"/>
    </row>
    <row r="147" spans="16:21">
      <c r="P147" s="15" t="s">
        <v>215</v>
      </c>
      <c r="Q147" s="16" t="s">
        <v>216</v>
      </c>
      <c r="R147" s="16">
        <v>0.109</v>
      </c>
      <c r="S147" s="15"/>
      <c r="T147" s="15"/>
      <c r="U147" s="15"/>
    </row>
    <row r="148" spans="16:21">
      <c r="P148" s="15" t="s">
        <v>215</v>
      </c>
      <c r="Q148" s="16" t="s">
        <v>217</v>
      </c>
      <c r="R148" s="16">
        <v>0.108</v>
      </c>
      <c r="S148" s="15"/>
      <c r="T148" s="15"/>
      <c r="U148" s="15"/>
    </row>
    <row r="149" spans="16:21">
      <c r="P149" s="15" t="s">
        <v>215</v>
      </c>
      <c r="Q149" s="16" t="s">
        <v>218</v>
      </c>
      <c r="R149" s="16">
        <v>0.01</v>
      </c>
      <c r="S149" s="15"/>
      <c r="T149" s="15"/>
      <c r="U149" s="15"/>
    </row>
    <row r="150" spans="16:21">
      <c r="P150" s="15" t="s">
        <v>215</v>
      </c>
      <c r="Q150" s="16" t="s">
        <v>219</v>
      </c>
      <c r="R150" s="16">
        <v>1.2E-2</v>
      </c>
      <c r="S150" s="15"/>
      <c r="T150" s="15"/>
      <c r="U150" s="15"/>
    </row>
    <row r="151" spans="16:21">
      <c r="P151" s="15" t="s">
        <v>215</v>
      </c>
      <c r="Q151" s="16" t="s">
        <v>220</v>
      </c>
      <c r="R151" s="16">
        <v>7.6999999999999999E-2</v>
      </c>
      <c r="S151" s="15"/>
      <c r="T151" s="15"/>
      <c r="U151" s="15"/>
    </row>
    <row r="152" spans="16:21">
      <c r="P152" s="15" t="s">
        <v>215</v>
      </c>
      <c r="Q152" s="16" t="s">
        <v>221</v>
      </c>
      <c r="R152" s="16">
        <v>0.28100000000000003</v>
      </c>
      <c r="S152" s="15"/>
      <c r="T152" s="15"/>
      <c r="U152" s="15"/>
    </row>
    <row r="153" spans="16:21">
      <c r="P153" s="15" t="s">
        <v>215</v>
      </c>
      <c r="Q153" s="16" t="s">
        <v>222</v>
      </c>
      <c r="R153" s="16">
        <v>4.5999999999999999E-2</v>
      </c>
      <c r="S153" s="15"/>
      <c r="T153" s="15"/>
      <c r="U153" s="15"/>
    </row>
    <row r="154" spans="16:21">
      <c r="P154" s="15" t="s">
        <v>215</v>
      </c>
      <c r="Q154" s="16" t="s">
        <v>223</v>
      </c>
      <c r="R154" s="16">
        <v>7.1999999999999995E-2</v>
      </c>
      <c r="S154" s="15"/>
      <c r="T154" s="15"/>
      <c r="U154" s="15"/>
    </row>
    <row r="155" spans="16:21">
      <c r="P155" s="15" t="s">
        <v>215</v>
      </c>
      <c r="Q155" s="16" t="s">
        <v>224</v>
      </c>
      <c r="R155" s="16">
        <v>0.316</v>
      </c>
      <c r="S155" s="15"/>
      <c r="T155" s="15"/>
      <c r="U155" s="15"/>
    </row>
    <row r="156" spans="16:21">
      <c r="P156" s="15" t="s">
        <v>215</v>
      </c>
      <c r="Q156" s="16" t="s">
        <v>225</v>
      </c>
      <c r="R156" s="16">
        <v>0.32700000000000001</v>
      </c>
      <c r="S156" s="15"/>
      <c r="T156" s="15"/>
      <c r="U156" s="15"/>
    </row>
    <row r="157" spans="16:21">
      <c r="P157" s="15" t="s">
        <v>215</v>
      </c>
      <c r="Q157" s="16" t="s">
        <v>75</v>
      </c>
      <c r="R157" s="16">
        <v>0.41899999999999998</v>
      </c>
      <c r="S157" s="15"/>
      <c r="T157" s="15"/>
      <c r="U157" s="15"/>
    </row>
    <row r="158" spans="16:21">
      <c r="P158" s="15" t="s">
        <v>226</v>
      </c>
      <c r="Q158" s="16" t="s">
        <v>225</v>
      </c>
      <c r="R158" s="16">
        <v>2.3E-2</v>
      </c>
      <c r="S158" s="15"/>
      <c r="T158" s="15"/>
      <c r="U158" s="15"/>
    </row>
    <row r="159" spans="16:21">
      <c r="P159" s="15" t="s">
        <v>226</v>
      </c>
      <c r="Q159" s="16" t="s">
        <v>227</v>
      </c>
      <c r="R159" s="16">
        <v>0.19600000000000001</v>
      </c>
      <c r="S159" s="15"/>
      <c r="T159" s="15"/>
      <c r="U159" s="15"/>
    </row>
    <row r="160" spans="16:21">
      <c r="P160" s="15" t="s">
        <v>226</v>
      </c>
      <c r="Q160" s="16" t="s">
        <v>228</v>
      </c>
      <c r="R160" s="16">
        <v>1.179</v>
      </c>
      <c r="S160" s="15"/>
      <c r="T160" s="15"/>
      <c r="U160" s="15"/>
    </row>
    <row r="161" spans="16:21">
      <c r="P161" s="15" t="s">
        <v>226</v>
      </c>
      <c r="Q161" s="16" t="s">
        <v>229</v>
      </c>
      <c r="R161" s="16">
        <v>1.107</v>
      </c>
      <c r="S161" s="15"/>
      <c r="T161" s="15"/>
      <c r="U161" s="15"/>
    </row>
    <row r="162" spans="16:21">
      <c r="P162" s="15" t="s">
        <v>226</v>
      </c>
      <c r="Q162" s="16" t="s">
        <v>230</v>
      </c>
      <c r="R162" s="16">
        <v>4.0960000000000001</v>
      </c>
      <c r="S162" s="15"/>
      <c r="T162" s="15"/>
      <c r="U162" s="15"/>
    </row>
    <row r="163" spans="16:21">
      <c r="P163" s="15" t="s">
        <v>226</v>
      </c>
      <c r="Q163" s="16" t="s">
        <v>231</v>
      </c>
      <c r="R163" s="16">
        <v>1.0309999999999999</v>
      </c>
      <c r="S163" s="15"/>
      <c r="T163" s="15"/>
      <c r="U163" s="15"/>
    </row>
    <row r="164" spans="16:21">
      <c r="P164" s="15" t="s">
        <v>226</v>
      </c>
      <c r="Q164" s="16" t="s">
        <v>232</v>
      </c>
      <c r="R164" s="16">
        <v>0.70599999999999996</v>
      </c>
      <c r="S164" s="15"/>
      <c r="T164" s="15"/>
      <c r="U164" s="15"/>
    </row>
    <row r="165" spans="16:21">
      <c r="P165" s="15" t="s">
        <v>226</v>
      </c>
      <c r="Q165" s="16" t="s">
        <v>233</v>
      </c>
      <c r="R165" s="16">
        <v>0.06</v>
      </c>
      <c r="S165" s="15"/>
      <c r="T165" s="15"/>
      <c r="U165" s="15"/>
    </row>
    <row r="166" spans="16:21">
      <c r="P166" s="15" t="s">
        <v>226</v>
      </c>
      <c r="Q166" s="16" t="s">
        <v>234</v>
      </c>
      <c r="R166" s="16">
        <v>0.157</v>
      </c>
      <c r="S166" s="15"/>
      <c r="T166" s="15"/>
      <c r="U166" s="15"/>
    </row>
    <row r="167" spans="16:21">
      <c r="P167" s="15" t="s">
        <v>226</v>
      </c>
      <c r="Q167" s="16" t="s">
        <v>235</v>
      </c>
      <c r="R167" s="16">
        <v>4.1000000000000002E-2</v>
      </c>
      <c r="S167" s="15"/>
      <c r="T167" s="15"/>
      <c r="U167" s="15"/>
    </row>
    <row r="168" spans="16:21">
      <c r="P168" s="15" t="s">
        <v>226</v>
      </c>
      <c r="Q168" s="16" t="s">
        <v>75</v>
      </c>
      <c r="R168" s="16">
        <v>0.42799999999999999</v>
      </c>
      <c r="S168" s="15"/>
      <c r="T168" s="15"/>
      <c r="U168" s="15"/>
    </row>
    <row r="169" spans="16:21">
      <c r="P169" s="15" t="s">
        <v>226</v>
      </c>
      <c r="Q169" s="16" t="s">
        <v>94</v>
      </c>
      <c r="R169" s="16">
        <v>1.145</v>
      </c>
      <c r="S169" s="15"/>
      <c r="T169" s="15"/>
      <c r="U169" s="15"/>
    </row>
    <row r="170" spans="16:21">
      <c r="P170" s="15" t="s">
        <v>236</v>
      </c>
      <c r="Q170" s="16" t="s">
        <v>225</v>
      </c>
      <c r="R170" s="16">
        <v>0.56299999999999994</v>
      </c>
      <c r="S170" s="15"/>
      <c r="T170" s="15"/>
      <c r="U170" s="15"/>
    </row>
    <row r="171" spans="16:21">
      <c r="P171" s="15" t="s">
        <v>236</v>
      </c>
      <c r="Q171" s="16" t="s">
        <v>227</v>
      </c>
      <c r="R171" s="16">
        <v>7.4999999999999997E-2</v>
      </c>
      <c r="S171" s="15"/>
      <c r="T171" s="15"/>
      <c r="U171" s="15"/>
    </row>
    <row r="172" spans="16:21">
      <c r="P172" s="15" t="s">
        <v>236</v>
      </c>
      <c r="Q172" s="16" t="s">
        <v>228</v>
      </c>
      <c r="R172" s="16">
        <v>1.2629999999999999</v>
      </c>
      <c r="S172" s="15"/>
      <c r="T172" s="15"/>
      <c r="U172" s="15"/>
    </row>
    <row r="173" spans="16:21">
      <c r="P173" s="15" t="s">
        <v>236</v>
      </c>
      <c r="Q173" s="16" t="s">
        <v>94</v>
      </c>
      <c r="R173" s="16">
        <v>1.143</v>
      </c>
      <c r="S173" s="15"/>
      <c r="T173" s="15"/>
      <c r="U173" s="15"/>
    </row>
    <row r="174" spans="16:21">
      <c r="P174" s="15" t="s">
        <v>237</v>
      </c>
      <c r="Q174" s="16" t="s">
        <v>75</v>
      </c>
      <c r="R174" s="16">
        <v>0.42799999999999999</v>
      </c>
      <c r="S174" s="15"/>
      <c r="T174" s="15"/>
      <c r="U174" s="15"/>
    </row>
    <row r="175" spans="16:21">
      <c r="P175" s="15" t="s">
        <v>237</v>
      </c>
      <c r="Q175" s="16" t="s">
        <v>238</v>
      </c>
      <c r="R175" s="16">
        <v>0.42199999999999999</v>
      </c>
      <c r="S175" s="15"/>
      <c r="T175" s="15"/>
      <c r="U175" s="15"/>
    </row>
    <row r="176" spans="16:21">
      <c r="P176" s="15" t="s">
        <v>237</v>
      </c>
      <c r="Q176" s="16" t="s">
        <v>239</v>
      </c>
      <c r="R176" s="16">
        <v>0.23699999999999999</v>
      </c>
      <c r="S176" s="15"/>
      <c r="T176" s="15"/>
      <c r="U176" s="15"/>
    </row>
    <row r="177" spans="16:21">
      <c r="P177" s="15" t="s">
        <v>237</v>
      </c>
      <c r="Q177" s="16" t="s">
        <v>240</v>
      </c>
      <c r="R177" s="16">
        <v>0.53900000000000003</v>
      </c>
      <c r="S177" s="15"/>
      <c r="T177" s="15"/>
      <c r="U177" s="15"/>
    </row>
    <row r="178" spans="16:21">
      <c r="P178" s="15" t="s">
        <v>237</v>
      </c>
      <c r="Q178" s="16" t="s">
        <v>241</v>
      </c>
      <c r="R178" s="16">
        <v>0.13300000000000001</v>
      </c>
      <c r="S178" s="15"/>
      <c r="T178" s="15"/>
      <c r="U178" s="15"/>
    </row>
    <row r="179" spans="16:21">
      <c r="P179" s="15" t="s">
        <v>242</v>
      </c>
      <c r="Q179" s="16" t="s">
        <v>243</v>
      </c>
      <c r="R179" s="16">
        <v>0.50800000000000001</v>
      </c>
      <c r="S179" s="15"/>
      <c r="T179" s="15"/>
      <c r="U179" s="15"/>
    </row>
    <row r="180" spans="16:21">
      <c r="P180" s="15" t="s">
        <v>242</v>
      </c>
      <c r="Q180" s="16" t="s">
        <v>244</v>
      </c>
      <c r="R180" s="16">
        <v>0.40699999999999997</v>
      </c>
      <c r="S180" s="15"/>
      <c r="T180" s="15"/>
      <c r="U180" s="15"/>
    </row>
    <row r="181" spans="16:21">
      <c r="P181" s="15" t="s">
        <v>242</v>
      </c>
      <c r="Q181" s="16" t="s">
        <v>245</v>
      </c>
      <c r="R181" s="16">
        <v>0.57699999999999996</v>
      </c>
      <c r="S181" s="15"/>
      <c r="T181" s="15"/>
      <c r="U181" s="15"/>
    </row>
    <row r="182" spans="16:21">
      <c r="P182" s="15" t="s">
        <v>242</v>
      </c>
      <c r="Q182" s="16" t="s">
        <v>246</v>
      </c>
      <c r="R182" s="16">
        <v>3.7970000000000002</v>
      </c>
      <c r="S182" s="15"/>
      <c r="T182" s="15"/>
      <c r="U182" s="15"/>
    </row>
    <row r="183" spans="16:21">
      <c r="P183" s="15" t="s">
        <v>242</v>
      </c>
      <c r="Q183" s="16" t="s">
        <v>247</v>
      </c>
      <c r="R183" s="16">
        <v>1.659</v>
      </c>
      <c r="S183" s="15"/>
      <c r="T183" s="15"/>
      <c r="U183" s="15"/>
    </row>
    <row r="184" spans="16:21">
      <c r="P184" s="15" t="s">
        <v>242</v>
      </c>
      <c r="Q184" s="16" t="s">
        <v>248</v>
      </c>
      <c r="R184" s="16">
        <v>1.292</v>
      </c>
      <c r="S184" s="15"/>
      <c r="T184" s="15"/>
      <c r="U184" s="15"/>
    </row>
    <row r="185" spans="16:21">
      <c r="P185" s="15" t="s">
        <v>242</v>
      </c>
      <c r="Q185" s="16" t="s">
        <v>249</v>
      </c>
      <c r="R185" s="16">
        <v>2.1509999999999998</v>
      </c>
      <c r="S185" s="15"/>
      <c r="T185" s="15"/>
      <c r="U185" s="15"/>
    </row>
    <row r="186" spans="16:21">
      <c r="P186" s="15" t="s">
        <v>242</v>
      </c>
      <c r="Q186" s="16" t="s">
        <v>250</v>
      </c>
      <c r="R186" s="16">
        <v>2.0710000000000002</v>
      </c>
      <c r="S186" s="15"/>
      <c r="T186" s="15"/>
      <c r="U186" s="15"/>
    </row>
    <row r="187" spans="16:21">
      <c r="P187" s="15" t="s">
        <v>242</v>
      </c>
      <c r="Q187" s="16" t="s">
        <v>251</v>
      </c>
      <c r="R187" s="16">
        <v>0.76700000000000002</v>
      </c>
      <c r="S187" s="15"/>
      <c r="T187" s="15"/>
      <c r="U187" s="15"/>
    </row>
    <row r="188" spans="16:21">
      <c r="P188" s="15" t="s">
        <v>242</v>
      </c>
      <c r="Q188" s="16" t="s">
        <v>252</v>
      </c>
      <c r="R188" s="16">
        <v>2.5419999999999998</v>
      </c>
      <c r="S188" s="15"/>
      <c r="T188" s="15"/>
      <c r="U188" s="15"/>
    </row>
    <row r="189" spans="16:21">
      <c r="P189" s="15" t="s">
        <v>242</v>
      </c>
      <c r="Q189" s="16" t="s">
        <v>253</v>
      </c>
      <c r="R189" s="16">
        <v>0.622</v>
      </c>
      <c r="S189" s="15"/>
      <c r="T189" s="15"/>
      <c r="U189" s="15"/>
    </row>
    <row r="190" spans="16:21">
      <c r="P190" s="15" t="s">
        <v>242</v>
      </c>
      <c r="Q190" s="16" t="s">
        <v>254</v>
      </c>
      <c r="R190" s="16">
        <v>2.419</v>
      </c>
      <c r="S190" s="15"/>
      <c r="T190" s="15"/>
      <c r="U190" s="15"/>
    </row>
    <row r="191" spans="16:21">
      <c r="P191" s="15" t="s">
        <v>242</v>
      </c>
      <c r="Q191" s="16" t="s">
        <v>255</v>
      </c>
      <c r="R191" s="16">
        <v>1.321</v>
      </c>
      <c r="S191" s="15"/>
      <c r="T191" s="15"/>
      <c r="U191" s="15"/>
    </row>
    <row r="192" spans="16:21">
      <c r="P192" s="15" t="s">
        <v>242</v>
      </c>
      <c r="Q192" s="16" t="s">
        <v>256</v>
      </c>
      <c r="R192" s="16">
        <v>1.5649999999999999</v>
      </c>
      <c r="S192" s="15"/>
      <c r="T192" s="15"/>
      <c r="U192" s="15"/>
    </row>
    <row r="193" spans="16:21">
      <c r="P193" s="15" t="s">
        <v>242</v>
      </c>
      <c r="Q193" s="16" t="s">
        <v>257</v>
      </c>
      <c r="R193" s="16">
        <v>0.78</v>
      </c>
      <c r="S193" s="15"/>
      <c r="T193" s="15"/>
      <c r="U193" s="15"/>
    </row>
    <row r="194" spans="16:21">
      <c r="P194" s="15" t="s">
        <v>242</v>
      </c>
      <c r="Q194" s="16" t="s">
        <v>258</v>
      </c>
      <c r="R194" s="16">
        <v>0.64400000000000002</v>
      </c>
      <c r="S194" s="15"/>
      <c r="T194" s="15"/>
      <c r="U194" s="15"/>
    </row>
    <row r="195" spans="16:21">
      <c r="P195" s="15" t="s">
        <v>242</v>
      </c>
      <c r="Q195" s="16" t="s">
        <v>259</v>
      </c>
      <c r="R195" s="16">
        <v>0.71</v>
      </c>
      <c r="S195" s="15"/>
      <c r="T195" s="15"/>
      <c r="U195" s="15"/>
    </row>
    <row r="196" spans="16:21">
      <c r="P196" s="15" t="s">
        <v>242</v>
      </c>
      <c r="Q196" s="16" t="s">
        <v>260</v>
      </c>
      <c r="R196" s="16">
        <v>0.34699999999999998</v>
      </c>
      <c r="S196" s="15"/>
      <c r="T196" s="15"/>
      <c r="U196" s="15"/>
    </row>
    <row r="197" spans="16:21">
      <c r="P197" s="15" t="s">
        <v>242</v>
      </c>
      <c r="Q197" s="16" t="s">
        <v>261</v>
      </c>
      <c r="R197" s="16">
        <v>0.86399999999999999</v>
      </c>
      <c r="S197" s="15"/>
      <c r="T197" s="15"/>
      <c r="U197" s="15"/>
    </row>
    <row r="198" spans="16:21">
      <c r="P198" s="15" t="s">
        <v>242</v>
      </c>
      <c r="Q198" s="16" t="s">
        <v>262</v>
      </c>
      <c r="R198" s="16">
        <v>0.69</v>
      </c>
      <c r="S198" s="15"/>
      <c r="T198" s="15"/>
      <c r="U198" s="15"/>
    </row>
    <row r="199" spans="16:21">
      <c r="P199" s="15" t="s">
        <v>242</v>
      </c>
      <c r="Q199" s="16" t="s">
        <v>75</v>
      </c>
      <c r="R199" s="16">
        <v>0.432</v>
      </c>
      <c r="S199" s="15"/>
      <c r="T199" s="15"/>
      <c r="U199" s="15"/>
    </row>
    <row r="200" spans="16:21">
      <c r="P200" s="15" t="s">
        <v>242</v>
      </c>
      <c r="Q200" s="16" t="s">
        <v>94</v>
      </c>
      <c r="R200" s="16">
        <v>1.0209999999999999</v>
      </c>
      <c r="S200" s="15"/>
      <c r="T200" s="15"/>
      <c r="U200" s="15"/>
    </row>
    <row r="201" spans="16:21">
      <c r="P201" s="15" t="s">
        <v>263</v>
      </c>
      <c r="Q201" s="16" t="s">
        <v>264</v>
      </c>
      <c r="R201" s="16">
        <v>5.4740000000000002</v>
      </c>
      <c r="S201" s="15"/>
      <c r="T201" s="15"/>
      <c r="U201" s="15"/>
    </row>
    <row r="202" spans="16:21">
      <c r="P202" s="15" t="s">
        <v>263</v>
      </c>
      <c r="Q202" s="16" t="s">
        <v>94</v>
      </c>
      <c r="R202" s="16">
        <v>1.0209999999999999</v>
      </c>
      <c r="S202" s="15"/>
      <c r="T202" s="15"/>
      <c r="U202" s="15"/>
    </row>
    <row r="203" spans="16:21">
      <c r="P203" s="15" t="s">
        <v>265</v>
      </c>
      <c r="Q203" s="16" t="s">
        <v>266</v>
      </c>
      <c r="R203" s="16">
        <v>1.673</v>
      </c>
      <c r="S203" s="15"/>
      <c r="T203" s="15"/>
      <c r="U203" s="15"/>
    </row>
    <row r="204" spans="16:21">
      <c r="P204" s="15" t="s">
        <v>265</v>
      </c>
      <c r="Q204" s="16" t="s">
        <v>94</v>
      </c>
      <c r="R204" s="16">
        <v>1.0209999999999999</v>
      </c>
      <c r="S204" s="15"/>
      <c r="T204" s="15"/>
      <c r="U204" s="15"/>
    </row>
  </sheetData>
  <mergeCells count="5">
    <mergeCell ref="A1:F1"/>
    <mergeCell ref="J2:K2"/>
    <mergeCell ref="P1:U1"/>
    <mergeCell ref="J12:K12"/>
    <mergeCell ref="J22:K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GanyuChan</dc:creator>
  <cp:lastModifiedBy>GanyuChan</cp:lastModifiedBy>
  <dcterms:created xsi:type="dcterms:W3CDTF">2026-08-30T08:58:18Z</dcterms:created>
  <dcterms:modified xsi:type="dcterms:W3CDTF">2026-09-16T03:08:43Z</dcterms:modified>
</cp:coreProperties>
</file>