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xi\Downloads\"/>
    </mc:Choice>
  </mc:AlternateContent>
  <xr:revisionPtr revIDLastSave="0" documentId="8_{C066DDDB-0337-4BE5-9344-D2981A4FB155}" xr6:coauthVersionLast="47" xr6:coauthVersionMax="47" xr10:uidLastSave="{00000000-0000-0000-0000-000000000000}"/>
  <bookViews>
    <workbookView xWindow="-108" yWindow="-108" windowWidth="30936" windowHeight="16776" firstSheet="5" activeTab="7" xr2:uid="{B75F2702-8E23-4918-BE92-C9BD16742AF7}"/>
  </bookViews>
  <sheets>
    <sheet name="PRELIMINARY CALCULATION" sheetId="1" r:id="rId1"/>
    <sheet name="Acid wash &amp; Carbon return syste" sheetId="2" r:id="rId2"/>
    <sheet name="Plant Elevation &amp; Equipment Lay" sheetId="3" r:id="rId3"/>
    <sheet name="EQUIPMENT CAPACITY &amp; STRUCTURAL" sheetId="4" r:id="rId4"/>
    <sheet name="EQUIPMENT ARANGEMENT" sheetId="5" r:id="rId5"/>
    <sheet name="MAINTENANCE CLEARANCE &amp; ACCESS" sheetId="6" r:id="rId6"/>
    <sheet name="P&amp;ID Register" sheetId="7" r:id="rId7"/>
    <sheet name="Prelim Master GA &amp; PID Draw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9" i="6" l="1"/>
  <c r="R19" i="5"/>
  <c r="R18" i="5"/>
  <c r="N21" i="5"/>
  <c r="N19" i="5"/>
  <c r="I13" i="5"/>
  <c r="M55" i="4"/>
  <c r="P37" i="4"/>
  <c r="P40" i="4" s="1"/>
  <c r="P34" i="4"/>
  <c r="K35" i="4"/>
  <c r="K38" i="4" s="1"/>
  <c r="F40" i="4"/>
  <c r="F35" i="4"/>
  <c r="P18" i="4"/>
  <c r="P19" i="4" s="1"/>
  <c r="L23" i="4"/>
  <c r="L19" i="4"/>
  <c r="L15" i="4"/>
  <c r="Y36" i="3"/>
  <c r="Y35" i="3"/>
  <c r="Y30" i="3"/>
  <c r="M32" i="3"/>
  <c r="L32" i="3"/>
</calcChain>
</file>

<file path=xl/sharedStrings.xml><?xml version="1.0" encoding="utf-8"?>
<sst xmlns="http://schemas.openxmlformats.org/spreadsheetml/2006/main" count="1141" uniqueCount="827">
  <si>
    <t>BASIS DESIGN</t>
  </si>
  <si>
    <t>PARAMETER</t>
  </si>
  <si>
    <t>VALUE</t>
  </si>
  <si>
    <t>STATUS</t>
  </si>
  <si>
    <t>Carbon per Batch</t>
  </si>
  <si>
    <t>1000 kg</t>
  </si>
  <si>
    <t>FIXED</t>
  </si>
  <si>
    <t>Asal Carbon</t>
  </si>
  <si>
    <t>Zadra Stripping</t>
  </si>
  <si>
    <t>Tujuan Carbon</t>
  </si>
  <si>
    <t>CIL Tank</t>
  </si>
  <si>
    <t>Reagen Acid Wash</t>
  </si>
  <si>
    <t>HCl</t>
  </si>
  <si>
    <t>Acid Wash Vessel</t>
  </si>
  <si>
    <t>Toren 5000 L</t>
  </si>
  <si>
    <t>Recirculation Tank</t>
  </si>
  <si>
    <t>Temperature</t>
  </si>
  <si>
    <t>Ambient</t>
  </si>
  <si>
    <t>HOLD</t>
  </si>
  <si>
    <t>Konsentrasi HCl</t>
  </si>
  <si>
    <t>Unknown</t>
  </si>
  <si>
    <t>Carbon Bulk Density</t>
  </si>
  <si>
    <t>450-550 kg/m3</t>
  </si>
  <si>
    <t>ESTIMATE</t>
  </si>
  <si>
    <t>Ukuran Carbon</t>
  </si>
  <si>
    <t>Cyanide Residual</t>
  </si>
  <si>
    <t>CRITICAL HOLD</t>
  </si>
  <si>
    <t>Volume Carbon 1000 kg</t>
  </si>
  <si>
    <t>Asumsi bulk density activated carbon sebesar 450-550 kg/m3</t>
  </si>
  <si>
    <t>Bulk Density</t>
  </si>
  <si>
    <t>Volume Bed</t>
  </si>
  <si>
    <t>450 kg/m3</t>
  </si>
  <si>
    <t>2.22 m3</t>
  </si>
  <si>
    <t>500 kg/m3</t>
  </si>
  <si>
    <t>2 m3</t>
  </si>
  <si>
    <t>550 kg/m3</t>
  </si>
  <si>
    <t>1.82 m3</t>
  </si>
  <si>
    <t>Opsional Custom Acid Wash Column</t>
  </si>
  <si>
    <t>Luas Penampang:</t>
  </si>
  <si>
    <t>Tinggi Carbon Bed:</t>
  </si>
  <si>
    <t>Parameter</t>
  </si>
  <si>
    <t>Hasil</t>
  </si>
  <si>
    <t>Diameter Toren</t>
  </si>
  <si>
    <t>1.50 m</t>
  </si>
  <si>
    <t>Tinggi</t>
  </si>
  <si>
    <t>2.30 m</t>
  </si>
  <si>
    <t>Volume tabung ideal</t>
  </si>
  <si>
    <t>4.064 m3</t>
  </si>
  <si>
    <t>Carbon per batch</t>
  </si>
  <si>
    <t>Volume bed carbon</t>
  </si>
  <si>
    <t>1.132 m</t>
  </si>
  <si>
    <t>Freeboard</t>
  </si>
  <si>
    <t>1.168 m</t>
  </si>
  <si>
    <t>Sisa volume geometris</t>
  </si>
  <si>
    <t>2.064 m3</t>
  </si>
  <si>
    <t>Torent di toko</t>
  </si>
  <si>
    <t>2.83 m</t>
  </si>
  <si>
    <t>5000 m3</t>
  </si>
  <si>
    <t>Engineering Calculation</t>
  </si>
  <si>
    <t>3000 m3</t>
  </si>
  <si>
    <t>Persentase volume bed</t>
  </si>
  <si>
    <t>Volume Bulk Carbon</t>
  </si>
  <si>
    <t>Rumus Volume</t>
  </si>
  <si>
    <t>Volume Carbon</t>
  </si>
  <si>
    <t>Tinggi bed</t>
  </si>
  <si>
    <t>1000/450</t>
  </si>
  <si>
    <t>1000/500</t>
  </si>
  <si>
    <t>1000/550</t>
  </si>
  <si>
    <t>2.222 m3</t>
  </si>
  <si>
    <t>2000 m3</t>
  </si>
  <si>
    <t>1818 m3</t>
  </si>
  <si>
    <t>Tinggi Freeboard dan Persentase Pengisian</t>
  </si>
  <si>
    <t>Toren toko</t>
  </si>
  <si>
    <t>Volume geometris diatas bed:</t>
  </si>
  <si>
    <t>Persentase volume bulk bed terhadap vol column</t>
  </si>
  <si>
    <t>Toren Custom</t>
  </si>
  <si>
    <t>Recirculation Pump Calculation</t>
  </si>
  <si>
    <t>VALIDATION ENGINEERING</t>
  </si>
  <si>
    <t>CHECK</t>
  </si>
  <si>
    <t>Konversi Ukuran &amp; Volume silinder</t>
  </si>
  <si>
    <t>PASS</t>
  </si>
  <si>
    <t>Perhitungan volume carbon</t>
  </si>
  <si>
    <t>PASS/ASSUMED</t>
  </si>
  <si>
    <t>Tinggi Bed dan Freeboard</t>
  </si>
  <si>
    <t>Volume Inventory HCl</t>
  </si>
  <si>
    <t>Recirculation Hydraulic duty</t>
  </si>
  <si>
    <t>PRELIMINARY</t>
  </si>
  <si>
    <t>Carbon transfer hydraulic duty</t>
  </si>
  <si>
    <t>Cyanide Residue Verification</t>
  </si>
  <si>
    <t>Vessel chemical/ Mechanical rating</t>
  </si>
  <si>
    <t>Off-gass dan Effluent management</t>
  </si>
  <si>
    <t>Perhitungan Overflow</t>
  </si>
  <si>
    <t>Komponen</t>
  </si>
  <si>
    <t>Rev.0</t>
  </si>
  <si>
    <t>Column Bottom</t>
  </si>
  <si>
    <t>Conical bottom</t>
  </si>
  <si>
    <t>Acid Feed</t>
  </si>
  <si>
    <t>Bottom Inlet, Upward flow</t>
  </si>
  <si>
    <t>Liquid return</t>
  </si>
  <si>
    <t>Top overflow by gravity</t>
  </si>
  <si>
    <t>Carbon retaining screen</t>
  </si>
  <si>
    <t>Di jalur overflow</t>
  </si>
  <si>
    <t>Carbon Discharge</t>
  </si>
  <si>
    <t>bottom gravity</t>
  </si>
  <si>
    <t>Recirculation pump</t>
  </si>
  <si>
    <t>Reference: 4 m3/h</t>
  </si>
  <si>
    <t xml:space="preserve">Carbon transfer to CIL </t>
  </si>
  <si>
    <t>Jalur terpisah</t>
  </si>
  <si>
    <t>Design Concept</t>
  </si>
  <si>
    <t>Configurasi</t>
  </si>
  <si>
    <t>V-101</t>
  </si>
  <si>
    <t>Acid wash column dengan conical bottom</t>
  </si>
  <si>
    <t>V-102</t>
  </si>
  <si>
    <t>Acid Recirculation Tank, berada lebih rendah daripada overflow V-101</t>
  </si>
  <si>
    <t>P-101</t>
  </si>
  <si>
    <t>Mengalirkan liquid dari V-102 menuju bagian bawah V-101</t>
  </si>
  <si>
    <t>Keluar melalui overflow atas V-101, kembali ke V-102 Secara gravitasi</t>
  </si>
  <si>
    <t>Carbon</t>
  </si>
  <si>
    <t>1000 kg/batch, dikeluarkan dari bawah V-101 setelah acid wash bro</t>
  </si>
  <si>
    <t>Simbol</t>
  </si>
  <si>
    <t>Value</t>
  </si>
  <si>
    <t>Status</t>
  </si>
  <si>
    <t>Recirculation Flow</t>
  </si>
  <si>
    <t>Q</t>
  </si>
  <si>
    <t>4 m3/h</t>
  </si>
  <si>
    <t>Diameter V-101</t>
  </si>
  <si>
    <t>Dv</t>
  </si>
  <si>
    <t>ASSUMED</t>
  </si>
  <si>
    <t>Panjang pipa overflow</t>
  </si>
  <si>
    <t>L</t>
  </si>
  <si>
    <t>8 m</t>
  </si>
  <si>
    <t>SCENARIO</t>
  </si>
  <si>
    <t>Darcy friction factor</t>
  </si>
  <si>
    <t>f</t>
  </si>
  <si>
    <t>Total Minor-loss coefficient</t>
  </si>
  <si>
    <t>SUM K</t>
  </si>
  <si>
    <t>Gravitasi</t>
  </si>
  <si>
    <t xml:space="preserve">g </t>
  </si>
  <si>
    <t>9.81 m/s2</t>
  </si>
  <si>
    <t>STANDARD</t>
  </si>
  <si>
    <t>Available Gravity Head</t>
  </si>
  <si>
    <t>Delta H</t>
  </si>
  <si>
    <t>0.25-1 m</t>
  </si>
  <si>
    <t>Overflow Piping</t>
  </si>
  <si>
    <t>Chemical-Compatible</t>
  </si>
  <si>
    <t>Diameter pipa : 40, 50, 65, 80 mm</t>
  </si>
  <si>
    <t>Diameter Dalam</t>
  </si>
  <si>
    <t>Kecepatan</t>
  </si>
  <si>
    <t>Friction + Minor Loss</t>
  </si>
  <si>
    <t>40 mm</t>
  </si>
  <si>
    <t>50 mm</t>
  </si>
  <si>
    <t>65 mm</t>
  </si>
  <si>
    <t>80 mm</t>
  </si>
  <si>
    <t>0.884 m/s</t>
  </si>
  <si>
    <t>0.566 m/s</t>
  </si>
  <si>
    <t>0.335 m/s</t>
  </si>
  <si>
    <t>0.221 m/s</t>
  </si>
  <si>
    <t>0.399 m</t>
  </si>
  <si>
    <t>0.144 m</t>
  </si>
  <si>
    <t>0.044 m</t>
  </si>
  <si>
    <t>0.017 m</t>
  </si>
  <si>
    <t>Nilai</t>
  </si>
  <si>
    <t>Diameter bagian tabung</t>
  </si>
  <si>
    <t>Diameter bawah kerucut</t>
  </si>
  <si>
    <t>STUDY ONLY</t>
  </si>
  <si>
    <t>Tinggi kerucut</t>
  </si>
  <si>
    <t>Massa carbon</t>
  </si>
  <si>
    <t>Bulk density</t>
  </si>
  <si>
    <t>Volume bed</t>
  </si>
  <si>
    <t>CALCULATED</t>
  </si>
  <si>
    <t>1500mm</t>
  </si>
  <si>
    <t>150mm</t>
  </si>
  <si>
    <t>600mm</t>
  </si>
  <si>
    <t>1000kg</t>
  </si>
  <si>
    <t>Volume Kerucut Terpancung</t>
  </si>
  <si>
    <t>Tinggi Carbon bed baru</t>
  </si>
  <si>
    <t>Volume bulk carbon</t>
  </si>
  <si>
    <t>Volume carbon yang berada pada bagian silinder</t>
  </si>
  <si>
    <t>Luas penampang silinder</t>
  </si>
  <si>
    <t>Tinggi carbon pada bagian silinder</t>
  </si>
  <si>
    <t>Sehingga tinggi total bed dari ujung kerucut</t>
  </si>
  <si>
    <t>Sudut kerucut</t>
  </si>
  <si>
    <t>Sudut terpancung</t>
  </si>
  <si>
    <t>Selisih radius:</t>
  </si>
  <si>
    <t>Sudut dinding terhadap horizontal:</t>
  </si>
  <si>
    <t>Sudut terhadap vertikal</t>
  </si>
  <si>
    <t>Resume</t>
  </si>
  <si>
    <t>Alternatif A</t>
  </si>
  <si>
    <t>Diameter Silinder</t>
  </si>
  <si>
    <t>Tinggi silinder</t>
  </si>
  <si>
    <t>Tinggi total vessel</t>
  </si>
  <si>
    <t>Volume total</t>
  </si>
  <si>
    <t>Volume carbon</t>
  </si>
  <si>
    <t>Tinggi carbon bed</t>
  </si>
  <si>
    <t>Tinggi ruang atas carbon</t>
  </si>
  <si>
    <t>Volume ruang atas carbon</t>
  </si>
  <si>
    <t>Sudut kerucut terhadap horizontal</t>
  </si>
  <si>
    <t>1.500 mm</t>
  </si>
  <si>
    <t>150 mm</t>
  </si>
  <si>
    <t>600 mm</t>
  </si>
  <si>
    <t>2.607 mm</t>
  </si>
  <si>
    <t>3.207 mm</t>
  </si>
  <si>
    <t>5.000 L</t>
  </si>
  <si>
    <t>2.000 L</t>
  </si>
  <si>
    <t>1.510 mm</t>
  </si>
  <si>
    <t>1.698 mm</t>
  </si>
  <si>
    <t>3.000 L</t>
  </si>
  <si>
    <t>41.63 Derajat</t>
  </si>
  <si>
    <t>Laju Pengeluaran carbon dari V-101</t>
  </si>
  <si>
    <t>Untuk menghitung laju pengeluaran rata-rata</t>
  </si>
  <si>
    <t>Evaluasii empat waktu transfer</t>
  </si>
  <si>
    <t>Waktu transfer</t>
  </si>
  <si>
    <t>Laju massa carbon</t>
  </si>
  <si>
    <t>Laju volume bulk ekuivalen</t>
  </si>
  <si>
    <t>30 menit</t>
  </si>
  <si>
    <t>2.000 kg/h</t>
  </si>
  <si>
    <t>4.00 m3/h</t>
  </si>
  <si>
    <t>45 menit</t>
  </si>
  <si>
    <t>1.333 kg/h</t>
  </si>
  <si>
    <t>2.67 m3/h</t>
  </si>
  <si>
    <t>60 menit</t>
  </si>
  <si>
    <t>1.000 kg/h</t>
  </si>
  <si>
    <t>2.00 m3/h</t>
  </si>
  <si>
    <t>90 menit</t>
  </si>
  <si>
    <t>667 kg/h</t>
  </si>
  <si>
    <t>1.33 m3/h</t>
  </si>
  <si>
    <t>Contoh transfer 60 menit:</t>
  </si>
  <si>
    <t>Laju bulk ekuivalen:</t>
  </si>
  <si>
    <t>Skenario</t>
  </si>
  <si>
    <t>Air tambahan</t>
  </si>
  <si>
    <t>Jumlah nominal</t>
  </si>
  <si>
    <t>T-A</t>
  </si>
  <si>
    <t>3.00 m3</t>
  </si>
  <si>
    <t>2.00 m3</t>
  </si>
  <si>
    <t>5.00 m3</t>
  </si>
  <si>
    <t>T-B</t>
  </si>
  <si>
    <t>4.00 m3</t>
  </si>
  <si>
    <t>6.00 m3</t>
  </si>
  <si>
    <t>T-C</t>
  </si>
  <si>
    <t>7.00 m3</t>
  </si>
  <si>
    <t>Evaluasi Awal diameter pipa transfer</t>
  </si>
  <si>
    <t>Konversi</t>
  </si>
  <si>
    <t>Rumus kecepatan:</t>
  </si>
  <si>
    <t>Diameter internal</t>
  </si>
  <si>
    <t>Kecepatan nominal</t>
  </si>
  <si>
    <t>100 mm</t>
  </si>
  <si>
    <t>1.326 m/s</t>
  </si>
  <si>
    <t>0.849 m/s</t>
  </si>
  <si>
    <t>0502 m/s</t>
  </si>
  <si>
    <t>0.332 m/s</t>
  </si>
  <si>
    <t>0.212 m/s</t>
  </si>
  <si>
    <t>Elevasi pemasangan acid wash column v-101</t>
  </si>
  <si>
    <t>posisi acid recirculation Tank v-102</t>
  </si>
  <si>
    <t>Beda ketinggian untuk overflow gravitasi</t>
  </si>
  <si>
    <t>Ruang dibawah hopper untuk carbon discharge</t>
  </si>
  <si>
    <t>Basis desain CALC-06</t>
  </si>
  <si>
    <t>Mc</t>
  </si>
  <si>
    <t>D2</t>
  </si>
  <si>
    <t>D1</t>
  </si>
  <si>
    <t>1500 m</t>
  </si>
  <si>
    <t>Diameter cone outlet</t>
  </si>
  <si>
    <t>0.150 m (asumsi)</t>
  </si>
  <si>
    <t>Tinggi cone</t>
  </si>
  <si>
    <t>Hk</t>
  </si>
  <si>
    <t>0.600 m (asumsi</t>
  </si>
  <si>
    <t>Volume vessel A</t>
  </si>
  <si>
    <t>VA</t>
  </si>
  <si>
    <t>Volume vessel B</t>
  </si>
  <si>
    <t>VB</t>
  </si>
  <si>
    <t>Tinggi vessel A</t>
  </si>
  <si>
    <t>HA</t>
  </si>
  <si>
    <t>Tinggi vessel B</t>
  </si>
  <si>
    <t>HB</t>
  </si>
  <si>
    <t>Debit recirculation acuan</t>
  </si>
  <si>
    <t>QR</t>
  </si>
  <si>
    <t>3.396 m3</t>
  </si>
  <si>
    <t>3.207 m</t>
  </si>
  <si>
    <t>2.300 m</t>
  </si>
  <si>
    <t>4.000 m3/h</t>
  </si>
  <si>
    <t>Debit transfer acuan</t>
  </si>
  <si>
    <t>QT</t>
  </si>
  <si>
    <t>6.000 m3/h</t>
  </si>
  <si>
    <t>Elevasi</t>
  </si>
  <si>
    <t>Lantai</t>
  </si>
  <si>
    <t>A (meter)</t>
  </si>
  <si>
    <t>B (meter)</t>
  </si>
  <si>
    <t>Ujung bawah cone</t>
  </si>
  <si>
    <t>Cone to cylinder join</t>
  </si>
  <si>
    <t>Atas vessel</t>
  </si>
  <si>
    <t>Alternatif A memerlukan ruang vertikal lebih tinggi sekitar 907 mm dibanding B, pada datum hopper outlet yang sama.</t>
  </si>
  <si>
    <t>Elevasi pemasangan V-101</t>
  </si>
  <si>
    <t>Posisi overflow V-101</t>
  </si>
  <si>
    <t>asumsikan titik kontrol overflow berada 250 mm dibawah elevasi atas silinder</t>
  </si>
  <si>
    <t>Alternatif B</t>
  </si>
  <si>
    <t>Verifikasi terhadap rugi pipa overflow</t>
  </si>
  <si>
    <t>Case</t>
  </si>
  <si>
    <t>A - Normal</t>
  </si>
  <si>
    <t>A - High</t>
  </si>
  <si>
    <t>B - normal</t>
  </si>
  <si>
    <t>Available Head (m)</t>
  </si>
  <si>
    <t>Pipe Loss (m)</t>
  </si>
  <si>
    <t>Sisa Head (m)</t>
  </si>
  <si>
    <t>B - High</t>
  </si>
  <si>
    <t>Clearance carbon terhadap overflow</t>
  </si>
  <si>
    <t>Hcarbon</t>
  </si>
  <si>
    <t>=</t>
  </si>
  <si>
    <t>Elevasi atas carbon</t>
  </si>
  <si>
    <t>Zcarbon</t>
  </si>
  <si>
    <t>meter</t>
  </si>
  <si>
    <t>Clearance vertical antara carbon bed statis dan overflow</t>
  </si>
  <si>
    <t>Alternative A</t>
  </si>
  <si>
    <t>Alternative B</t>
  </si>
  <si>
    <t>Plant Elevation &amp; Equipment Layout - Preliminary Complete</t>
  </si>
  <si>
    <t>Vessel top</t>
  </si>
  <si>
    <t>Overflow</t>
  </si>
  <si>
    <t>Cone discharge</t>
  </si>
  <si>
    <t>Clearance bed overflow</t>
  </si>
  <si>
    <t>Gravity head, V-102 High</t>
  </si>
  <si>
    <t>Alternatif A (meter)</t>
  </si>
  <si>
    <t>Alternatif B (meter)</t>
  </si>
  <si>
    <t>Vessel Kosong</t>
  </si>
  <si>
    <t>Vessel terisi 1k kg carbon</t>
  </si>
  <si>
    <t>Vessel terisi carbon dan cairan sampai level operasi</t>
  </si>
  <si>
    <t>Vessel mencapai kondisi volume geometris maksimum</t>
  </si>
  <si>
    <t>beban diteruskan ke rangka penyangga</t>
  </si>
  <si>
    <t>Design basis</t>
  </si>
  <si>
    <t>Bulk density carbon</t>
  </si>
  <si>
    <t>Diameter silinder</t>
  </si>
  <si>
    <t>tinggi cone</t>
  </si>
  <si>
    <t>volume A</t>
  </si>
  <si>
    <t>volume B</t>
  </si>
  <si>
    <t>porositas bed</t>
  </si>
  <si>
    <t>densitas cairan contoh</t>
  </si>
  <si>
    <t>jarak overflow dari top</t>
  </si>
  <si>
    <t>gravity</t>
  </si>
  <si>
    <t>0.15 m</t>
  </si>
  <si>
    <t>0.60 m</t>
  </si>
  <si>
    <t>5.000 m3</t>
  </si>
  <si>
    <t>1000 kg/m3</t>
  </si>
  <si>
    <t>0.25 m</t>
  </si>
  <si>
    <t xml:space="preserve">ASSUMED </t>
  </si>
  <si>
    <t>TEST</t>
  </si>
  <si>
    <t>WATER BASIS</t>
  </si>
  <si>
    <t>Volume carbon dan Rongga</t>
  </si>
  <si>
    <t>Volume Bulk Carbon:</t>
  </si>
  <si>
    <t>Vc</t>
  </si>
  <si>
    <t>m3</t>
  </si>
  <si>
    <t>Volume rongga antar butir:</t>
  </si>
  <si>
    <t>Vvoid</t>
  </si>
  <si>
    <t>Volume padatan carbon dalam bed</t>
  </si>
  <si>
    <t>Vsolid</t>
  </si>
  <si>
    <t>Volume cairan pada level operasi</t>
  </si>
  <si>
    <t>Posisi overflow 250 mm dibawah top vessel</t>
  </si>
  <si>
    <t>Luas penampang:</t>
  </si>
  <si>
    <t>A =</t>
  </si>
  <si>
    <t>Volume geometris total</t>
  </si>
  <si>
    <t>Volume sampai overflow</t>
  </si>
  <si>
    <t>Volume material carbon</t>
  </si>
  <si>
    <t>Volume cairan contoh</t>
  </si>
  <si>
    <t>Ruang atas overflow</t>
  </si>
  <si>
    <t>Alternatif A (liter)</t>
  </si>
  <si>
    <t>Alternatif B (liter)</t>
  </si>
  <si>
    <t>Asumsi seluruh bed terendam</t>
  </si>
  <si>
    <t>Perhitungan massa dan beban cairan</t>
  </si>
  <si>
    <t>Basis water</t>
  </si>
  <si>
    <t>mL,A</t>
  </si>
  <si>
    <t>kg/m3</t>
  </si>
  <si>
    <t>kg</t>
  </si>
  <si>
    <t>Beban gravitasi cairan</t>
  </si>
  <si>
    <t>wL,A</t>
  </si>
  <si>
    <t>kN</t>
  </si>
  <si>
    <t>Perhitungan Beban Carbon</t>
  </si>
  <si>
    <t>Massa Carbon</t>
  </si>
  <si>
    <t>Beban akibat gravitasi</t>
  </si>
  <si>
    <t>Wc</t>
  </si>
  <si>
    <t xml:space="preserve">Total beban </t>
  </si>
  <si>
    <t>Beban isi maksimum geometris</t>
  </si>
  <si>
    <t>vL, max, A</t>
  </si>
  <si>
    <t>Massa isi total:</t>
  </si>
  <si>
    <t>mMax, a</t>
  </si>
  <si>
    <t>Beban:</t>
  </si>
  <si>
    <t>wMAX,A</t>
  </si>
  <si>
    <t>Kondisi Isi</t>
  </si>
  <si>
    <t>Carbon Doang (kering, tanpa cairan)</t>
  </si>
  <si>
    <t>Carbon + Liquid level operasi</t>
  </si>
  <si>
    <t>Carbon + Liquid volume max</t>
  </si>
  <si>
    <t>9.819 kN</t>
  </si>
  <si>
    <t>42.754 kN</t>
  </si>
  <si>
    <t>47.008 kN</t>
  </si>
  <si>
    <t>Perhitungan Total Beban Struktur</t>
  </si>
  <si>
    <t>Screening pada empat kaki penyangga</t>
  </si>
  <si>
    <t>dengan n =4 (kakinya 4 biji njir)</t>
  </si>
  <si>
    <t>R avg</t>
  </si>
  <si>
    <t>kN/kaki</t>
  </si>
  <si>
    <t>Equipment Capacity &amp; Structural load register</t>
  </si>
  <si>
    <t>Tag</t>
  </si>
  <si>
    <t>Equipment</t>
  </si>
  <si>
    <t>Capacity/duty</t>
  </si>
  <si>
    <t>Beban/Status</t>
  </si>
  <si>
    <t>V-101 A</t>
  </si>
  <si>
    <t>Acid Wash Column A</t>
  </si>
  <si>
    <t>5000 L geometris</t>
  </si>
  <si>
    <t>Acid Recirculation Tank</t>
  </si>
  <si>
    <t>3.396 L geometris</t>
  </si>
  <si>
    <t>Isi normal 27.023 kN</t>
  </si>
  <si>
    <t>Isi normal 42.754 kN</t>
  </si>
  <si>
    <t>Acid Circulation Pump</t>
  </si>
  <si>
    <t>Acuan 4 m3/h</t>
  </si>
  <si>
    <t>HOLD Spek</t>
  </si>
  <si>
    <t>SC-101</t>
  </si>
  <si>
    <t>Overflow carbon screen</t>
  </si>
  <si>
    <t>XV-101</t>
  </si>
  <si>
    <t>Bottom carbon discharge</t>
  </si>
  <si>
    <t>Outlet studi D150 mm</t>
  </si>
  <si>
    <t>P-102</t>
  </si>
  <si>
    <t>Carbon transfer piump</t>
  </si>
  <si>
    <t>ST-101</t>
  </si>
  <si>
    <t xml:space="preserve">Elevated Support Structure </t>
  </si>
  <si>
    <t>menopang V-101</t>
  </si>
  <si>
    <t>HOLD Design Structure</t>
  </si>
  <si>
    <t>Equipment Capacity &amp; Structural Load - Preliminary</t>
  </si>
  <si>
    <t>Force</t>
  </si>
  <si>
    <t>4.358 kg massa isi</t>
  </si>
  <si>
    <t>Elevation Arrangement</t>
  </si>
  <si>
    <t>Elevasi lantai</t>
  </si>
  <si>
    <t>Overflow crest</t>
  </si>
  <si>
    <t>m</t>
  </si>
  <si>
    <t>Ztop</t>
  </si>
  <si>
    <t>Gravity overflow verification</t>
  </si>
  <si>
    <t>Flow Q</t>
  </si>
  <si>
    <t>Pipa return, diameter dalam</t>
  </si>
  <si>
    <t>Panjang pipa</t>
  </si>
  <si>
    <t>Minor loss coefficient</t>
  </si>
  <si>
    <t>Level normal V-102</t>
  </si>
  <si>
    <t>Level high V-102</t>
  </si>
  <si>
    <t>1.500 m</t>
  </si>
  <si>
    <t>2.000 m</t>
  </si>
  <si>
    <t>Head tersedia (pendekatan awal)</t>
  </si>
  <si>
    <t>Normal kondisi:</t>
  </si>
  <si>
    <t xml:space="preserve">Rugi head </t>
  </si>
  <si>
    <t>H margin</t>
  </si>
  <si>
    <t>Available Head, normal</t>
  </si>
  <si>
    <t>Available Head, high</t>
  </si>
  <si>
    <t>Margin normal setelah loss</t>
  </si>
  <si>
    <t>Margin high setelah loss</t>
  </si>
  <si>
    <t>Footprint &amp; Maintenance clearance</t>
  </si>
  <si>
    <t>Trial</t>
  </si>
  <si>
    <t>Clearance akses setiap sisi</t>
  </si>
  <si>
    <t>Jarak footprint antar vessel</t>
  </si>
  <si>
    <t>Lebar jalur inspeksi</t>
  </si>
  <si>
    <t>Clearance bawah cone outlet</t>
  </si>
  <si>
    <t>L envelope</t>
  </si>
  <si>
    <t xml:space="preserve">D </t>
  </si>
  <si>
    <t>C</t>
  </si>
  <si>
    <t>A envelope</t>
  </si>
  <si>
    <t>m2</t>
  </si>
  <si>
    <t>Diameter dasar vessel</t>
  </si>
  <si>
    <t>trial envelope panjang</t>
  </si>
  <si>
    <t>trial envelope lebar</t>
  </si>
  <si>
    <t>trial envelope area</t>
  </si>
  <si>
    <t>Operating Envelope</t>
  </si>
  <si>
    <t>Carbon bulk volume</t>
  </si>
  <si>
    <t>Liquid inventory</t>
  </si>
  <si>
    <t>Combined contents mass</t>
  </si>
  <si>
    <t>Combined contents load</t>
  </si>
  <si>
    <t>Clearance bed top overflow</t>
  </si>
  <si>
    <t>MAINTENANCE CLEARANCE &amp; ACCESS ARANGEMENT</t>
  </si>
  <si>
    <t>V-101 Total Volume</t>
  </si>
  <si>
    <t>Cylinder diameter</t>
  </si>
  <si>
    <t>Total height</t>
  </si>
  <si>
    <t>Cone Height</t>
  </si>
  <si>
    <t>Cone outlet diameter</t>
  </si>
  <si>
    <t>Carbon mass</t>
  </si>
  <si>
    <t>Cone outlet elevation</t>
  </si>
  <si>
    <t>Carbon bed top elevation</t>
  </si>
  <si>
    <t>Overflow elevation</t>
  </si>
  <si>
    <t>Vessel top elevation</t>
  </si>
  <si>
    <t>Satuan</t>
  </si>
  <si>
    <t>Zona</t>
  </si>
  <si>
    <t>Kebutuhan</t>
  </si>
  <si>
    <t>MZ-01</t>
  </si>
  <si>
    <t>MZ-02</t>
  </si>
  <si>
    <t>MZ-03</t>
  </si>
  <si>
    <t>MZ-04</t>
  </si>
  <si>
    <t>MZ-05</t>
  </si>
  <si>
    <t>V-101 Upper</t>
  </si>
  <si>
    <t>V-101 Body</t>
  </si>
  <si>
    <t>V-101 Bottom</t>
  </si>
  <si>
    <t>Overflow, screen SC-101, inspeksi</t>
  </si>
  <si>
    <t>Shell, nozzle, instrumen</t>
  </si>
  <si>
    <t>Cone, XV-101, Carbon discharge</t>
  </si>
  <si>
    <t>Level, vent, inspeksi, cleaning</t>
  </si>
  <si>
    <t>Seal, Coupling, Motor, valve, maintenance</t>
  </si>
  <si>
    <t>Upper maintenance Access</t>
  </si>
  <si>
    <t>Z Deck trial</t>
  </si>
  <si>
    <t>H Access</t>
  </si>
  <si>
    <t>Trial deck elevation</t>
  </si>
  <si>
    <t>Vertical Differenace</t>
  </si>
  <si>
    <t>Preliminary P&amp;ID Register &amp; Safety Interlock Philosophy</t>
  </si>
  <si>
    <t>\</t>
  </si>
  <si>
    <t>Tak</t>
  </si>
  <si>
    <t>Function</t>
  </si>
  <si>
    <t>TK-103</t>
  </si>
  <si>
    <t>ED-101</t>
  </si>
  <si>
    <t>S2</t>
  </si>
  <si>
    <t>WT-101</t>
  </si>
  <si>
    <t>VG-101</t>
  </si>
  <si>
    <t>Acid Wash Carbon Vessel</t>
  </si>
  <si>
    <t>Recirculation Solution Tank</t>
  </si>
  <si>
    <t>Chemical Recirculation Pump</t>
  </si>
  <si>
    <t>Carbon Retention Screen</t>
  </si>
  <si>
    <t>Bottom Carbon Isolation Valve</t>
  </si>
  <si>
    <t>Carbon Transfer Pump</t>
  </si>
  <si>
    <t>Hydraulic Eductor</t>
  </si>
  <si>
    <t>Elevated Structural Platform</t>
  </si>
  <si>
    <t>Contained Waste Interface</t>
  </si>
  <si>
    <t>Offgass Treatment Interface</t>
  </si>
  <si>
    <t>Menampung Carbon untuk washing</t>
  </si>
  <si>
    <t>Reservoir cairan sirkulasi</t>
  </si>
  <si>
    <t>Aliran V-102 ke V-101</t>
  </si>
  <si>
    <t>Memisahkan carbon dari overflow</t>
  </si>
  <si>
    <t>Isolasi discharge carbon</t>
  </si>
  <si>
    <t>Kandidate T2</t>
  </si>
  <si>
    <t>Kandidate T3</t>
  </si>
  <si>
    <t xml:space="preserve">Support </t>
  </si>
  <si>
    <t>Carbon transfer receiver</t>
  </si>
  <si>
    <t>Discharge limbah ke treatment</t>
  </si>
  <si>
    <t>Pengendalian gas/emisi</t>
  </si>
  <si>
    <t>Process Line Register</t>
  </si>
  <si>
    <t>Line IDm</t>
  </si>
  <si>
    <t>From -&gt; To</t>
  </si>
  <si>
    <t>Service</t>
  </si>
  <si>
    <t>Nominal Flow</t>
  </si>
  <si>
    <t>L-101A</t>
  </si>
  <si>
    <t>L-101B</t>
  </si>
  <si>
    <t>L-102</t>
  </si>
  <si>
    <t>L-103</t>
  </si>
  <si>
    <t>L-104</t>
  </si>
  <si>
    <t>L-105</t>
  </si>
  <si>
    <t>L-106</t>
  </si>
  <si>
    <t>L-107</t>
  </si>
  <si>
    <t>L-108</t>
  </si>
  <si>
    <t>L-109</t>
  </si>
  <si>
    <t>L-110</t>
  </si>
  <si>
    <t>L-111</t>
  </si>
  <si>
    <t>V-102 -&gt; P-101</t>
  </si>
  <si>
    <t>P-101 to V-101 Bottom inlet</t>
  </si>
  <si>
    <t>V-101 SC-101 to V-102</t>
  </si>
  <si>
    <t>V-101 XV-101 to Transfer Interface</t>
  </si>
  <si>
    <t>Approved HCL Supply to Wash circuit</t>
  </si>
  <si>
    <t>Approved rinse supply to Wash Circuit</t>
  </si>
  <si>
    <t>V-101/V-102 to Contained Treatment</t>
  </si>
  <si>
    <t>V-101 to Approved offgass system</t>
  </si>
  <si>
    <t>V-102 to Approved offgass system</t>
  </si>
  <si>
    <t>Approved zadra carbon interace to V-101</t>
  </si>
  <si>
    <t>Transfer interface to CIL</t>
  </si>
  <si>
    <t>Bund/safe collection to treatment</t>
  </si>
  <si>
    <t>Pump suction</t>
  </si>
  <si>
    <t>recirculation supply</t>
  </si>
  <si>
    <t>Gravity overflow return</t>
  </si>
  <si>
    <t>Wet carbon discharge</t>
  </si>
  <si>
    <t>Acid dosing</t>
  </si>
  <si>
    <t>Rinse/flush</t>
  </si>
  <si>
    <t>Waste liquid</t>
  </si>
  <si>
    <t>Vent/offgas</t>
  </si>
  <si>
    <t>Carbon reception</t>
  </si>
  <si>
    <t>Carbon return</t>
  </si>
  <si>
    <t>Spill collection</t>
  </si>
  <si>
    <t>4 m3/h trial</t>
  </si>
  <si>
    <t>TBD</t>
  </si>
  <si>
    <t>BATCH</t>
  </si>
  <si>
    <t>Lokasi/ Fungsi</t>
  </si>
  <si>
    <t>Filosofi</t>
  </si>
  <si>
    <t>Gate</t>
  </si>
  <si>
    <t>XV-102</t>
  </si>
  <si>
    <t>XV-103</t>
  </si>
  <si>
    <t>NRV-101</t>
  </si>
  <si>
    <t>XV-104</t>
  </si>
  <si>
    <t>XV-105</t>
  </si>
  <si>
    <t>XV-106</t>
  </si>
  <si>
    <t>XV-107</t>
  </si>
  <si>
    <t>XV-108</t>
  </si>
  <si>
    <t>V-101 Cone outlet</t>
  </si>
  <si>
    <t>P-101 Suction</t>
  </si>
  <si>
    <t>P-101 Discharge</t>
  </si>
  <si>
    <t>L-102 Overflow branch</t>
  </si>
  <si>
    <t>HCL dosing interface</t>
  </si>
  <si>
    <t>Rinse water interface</t>
  </si>
  <si>
    <t>Waste liquid outlet</t>
  </si>
  <si>
    <t>Carbon return boundary</t>
  </si>
  <si>
    <t>Carbon discharge isolation</t>
  </si>
  <si>
    <t>Maintenance isolation</t>
  </si>
  <si>
    <t>Backflow prevention candidate</t>
  </si>
  <si>
    <t>Isolation untuk maintenance, dengan proteksi level independen</t>
  </si>
  <si>
    <t>Safety isolation candidate</t>
  </si>
  <si>
    <t>controlled isolation</t>
  </si>
  <si>
    <t>Segregated waste isolation</t>
  </si>
  <si>
    <t>Positive isolation concept</t>
  </si>
  <si>
    <t>Valve Register</t>
  </si>
  <si>
    <t>Instrument Register</t>
  </si>
  <si>
    <t>LT-101</t>
  </si>
  <si>
    <t>LSHH-101</t>
  </si>
  <si>
    <t>LT-102</t>
  </si>
  <si>
    <t>LSLL-102</t>
  </si>
  <si>
    <t>FIT-101</t>
  </si>
  <si>
    <t>PIT-101</t>
  </si>
  <si>
    <t>PDT-101</t>
  </si>
  <si>
    <t>AIT-101</t>
  </si>
  <si>
    <t>AIT-102</t>
  </si>
  <si>
    <t>TT-101</t>
  </si>
  <si>
    <t>GD-101</t>
  </si>
  <si>
    <t>GD-102</t>
  </si>
  <si>
    <t>ZS-101</t>
  </si>
  <si>
    <t>ESD-101</t>
  </si>
  <si>
    <t>Instrument</t>
  </si>
  <si>
    <t>V-101 Level transmitter</t>
  </si>
  <si>
    <t>V-102 Level transmitter</t>
  </si>
  <si>
    <t>Independent V-101 High-high level</t>
  </si>
  <si>
    <t>V-102 low-low level switch</t>
  </si>
  <si>
    <t>Recirculation flow transmitter</t>
  </si>
  <si>
    <t>Pump discharge preassure</t>
  </si>
  <si>
    <t>SC-101 Differential preassure</t>
  </si>
  <si>
    <t>V-101 pH analyser</t>
  </si>
  <si>
    <t>Carbon clearance analytical interface</t>
  </si>
  <si>
    <t>V-101 temperature</t>
  </si>
  <si>
    <t>HCN area gas detector</t>
  </si>
  <si>
    <t>Additional HCN Detector candidate</t>
  </si>
  <si>
    <t>XV-101 position feedback</t>
  </si>
  <si>
    <t>Emergency shutdown input</t>
  </si>
  <si>
    <t>Monitor level wash vessel</t>
  </si>
  <si>
    <t>Overfill protection input</t>
  </si>
  <si>
    <t>Monitor liquid inventory</t>
  </si>
  <si>
    <t>Pump dry-running protection</t>
  </si>
  <si>
    <t>Monitor P-101 flow</t>
  </si>
  <si>
    <t>Monitor abnormal retriction</t>
  </si>
  <si>
    <t>Screen fouling detection candidate</t>
  </si>
  <si>
    <t>chemistry monitoring</t>
  </si>
  <si>
    <t>Record approved lab clearance result</t>
  </si>
  <si>
    <t>Temperature monitoring</t>
  </si>
  <si>
    <t>Personnel/Process hazard alarm input</t>
  </si>
  <si>
    <t>Coverage subject to gas mapping</t>
  </si>
  <si>
    <t>Confirm isolation position</t>
  </si>
  <si>
    <t>Emergency response interface</t>
  </si>
  <si>
    <t>Preliminary cause-effect matrix</t>
  </si>
  <si>
    <t>IDE</t>
  </si>
  <si>
    <t>Trigger/Condition</t>
  </si>
  <si>
    <t>Required protecive intent</t>
  </si>
  <si>
    <t>SI-01</t>
  </si>
  <si>
    <t>SI-02</t>
  </si>
  <si>
    <t>SI-03</t>
  </si>
  <si>
    <t>SI-04</t>
  </si>
  <si>
    <t>SI-05</t>
  </si>
  <si>
    <t>SI-06</t>
  </si>
  <si>
    <t>SI-07</t>
  </si>
  <si>
    <t>SI-08</t>
  </si>
  <si>
    <t>SI-09</t>
  </si>
  <si>
    <t>SI-10</t>
  </si>
  <si>
    <t>SI-11</t>
  </si>
  <si>
    <t>SI-12</t>
  </si>
  <si>
    <t>SI-13</t>
  </si>
  <si>
    <t>SI-14</t>
  </si>
  <si>
    <t>Carbon clearance belum disetujui</t>
  </si>
  <si>
    <t>Segregation boundary tidak terbukti</t>
  </si>
  <si>
    <t>HCN gas detection alarm</t>
  </si>
  <si>
    <t>Offgass treatment unavailable</t>
  </si>
  <si>
    <t>V-101 high-high level</t>
  </si>
  <si>
    <t>V-102 low-low level</t>
  </si>
  <si>
    <t>P-101 low-flow/ abnormal discharge preassure</t>
  </si>
  <si>
    <t>SC-101 excessive differential preassure</t>
  </si>
  <si>
    <t>V-101/V-102 abnormal temperature</t>
  </si>
  <si>
    <t>XV-101 wrong position</t>
  </si>
  <si>
    <t>Waste route unavailable/ full</t>
  </si>
  <si>
    <t>CIL return not cleared</t>
  </si>
  <si>
    <t>Emergency shutdown activated</t>
  </si>
  <si>
    <t>Critical instrument fault/loss of signal</t>
  </si>
  <si>
    <t>Inhibit HCL admission</t>
  </si>
  <si>
    <t>Inhibit acid admission dan transfer yang tidak aman</t>
  </si>
  <si>
    <t>Operator warning, protective response sesuai HAZOP</t>
  </si>
  <si>
    <t>Inhibit hazardous chemical operation</t>
  </si>
  <si>
    <t>Stop incoming flow, prevent overfill</t>
  </si>
  <si>
    <t>Protect P-101 against dry running</t>
  </si>
  <si>
    <t>Alarm/trip berdasarkan validated pump envelope</t>
  </si>
  <si>
    <t>Inhibit unsafe continued circulation</t>
  </si>
  <si>
    <t>Alarm/trip based on approved limits</t>
  </si>
  <si>
    <t>Prevent conflicting process modes</t>
  </si>
  <si>
    <t>Inhibit discharge into uncontained destination</t>
  </si>
  <si>
    <t>Block carbon return</t>
  </si>
  <si>
    <t>Drive process to analysed safe state</t>
  </si>
  <si>
    <t>Prevent unsafe permissive or operation</t>
  </si>
  <si>
    <t>Drawing No.</t>
  </si>
  <si>
    <t>GA-001 A</t>
  </si>
  <si>
    <t>GA-001 B</t>
  </si>
  <si>
    <t>GA-002</t>
  </si>
  <si>
    <t>GA-003</t>
  </si>
  <si>
    <t>GA-004</t>
  </si>
  <si>
    <t>PID-001</t>
  </si>
  <si>
    <t>PID-002</t>
  </si>
  <si>
    <t>PID-003</t>
  </si>
  <si>
    <t>PID-004</t>
  </si>
  <si>
    <t>PID-005</t>
  </si>
  <si>
    <t>MEC-001</t>
  </si>
  <si>
    <t>REG-001</t>
  </si>
  <si>
    <t>REG-002</t>
  </si>
  <si>
    <t>Drawing Title</t>
  </si>
  <si>
    <t>V-101 General Arrangement</t>
  </si>
  <si>
    <t>Equipment Plot Plan</t>
  </si>
  <si>
    <t>Elevation &amp; Platform S2</t>
  </si>
  <si>
    <t>Maintenance &amp; Access Zones</t>
  </si>
  <si>
    <t>Acid Wash Recirculation Master</t>
  </si>
  <si>
    <t>Chemical/Rinse/Waste Interfaces</t>
  </si>
  <si>
    <t>Carbon Transfer to CIL</t>
  </si>
  <si>
    <t>Instrument &amp; Interlock Functions</t>
  </si>
  <si>
    <t>Vessel Support &amp; Load Inte</t>
  </si>
  <si>
    <t>Equipment , Nozzle, Line schedule</t>
  </si>
  <si>
    <t>Open Items &amp; Design Freeze Register</t>
  </si>
  <si>
    <t>Preliminary Master GA &amp; P&amp;ID Drawing Package</t>
  </si>
  <si>
    <t>PID-101 Line ownership</t>
  </si>
  <si>
    <t>Line</t>
  </si>
  <si>
    <t>Source</t>
  </si>
  <si>
    <t>Destination</t>
  </si>
  <si>
    <t>Duty</t>
  </si>
  <si>
    <t>L-101 A</t>
  </si>
  <si>
    <t>L-101 B</t>
  </si>
  <si>
    <t>SC-101 Outlet</t>
  </si>
  <si>
    <t>XV-101 outlet</t>
  </si>
  <si>
    <t>V-101 lower inlet</t>
  </si>
  <si>
    <t xml:space="preserve">V-102 </t>
  </si>
  <si>
    <t>Transfer Boundary</t>
  </si>
  <si>
    <t>Chemical Recirculation</t>
  </si>
  <si>
    <t>Upflow supply</t>
  </si>
  <si>
    <t>Carbon discharge</t>
  </si>
  <si>
    <t>CALC-10F - PID-002/003/004 Register</t>
  </si>
  <si>
    <t>Drawing</t>
  </si>
  <si>
    <t>Included Interface</t>
  </si>
  <si>
    <t>Open Requirement</t>
  </si>
  <si>
    <t>L-104 HCl Supply</t>
  </si>
  <si>
    <t>L-105 Rinse source</t>
  </si>
  <si>
    <t>L-106 Waste</t>
  </si>
  <si>
    <t>L-107/ L-108 Vents</t>
  </si>
  <si>
    <t>L-109 Zadra carbon reception</t>
  </si>
  <si>
    <t>PID-006</t>
  </si>
  <si>
    <t>L-110 CIL carbon return</t>
  </si>
  <si>
    <t>T1/T2/T3 Transfer alternatives</t>
  </si>
  <si>
    <t>LT/LSHH/LSLL/FIT/PIT/PDT/AIT/TT</t>
  </si>
  <si>
    <t>GD/ESD/ZS</t>
  </si>
  <si>
    <t>SI-01 to SI-14</t>
  </si>
  <si>
    <t>Dedicated safe dosing/ segregation design</t>
  </si>
  <si>
    <t>backflow prevention, rinse clearance</t>
  </si>
  <si>
    <t>Segregated and contained treatment</t>
  </si>
  <si>
    <t>Gas handling, HCN risk controls</t>
  </si>
  <si>
    <t>Cyanide-clearance boundary</t>
  </si>
  <si>
    <t>Safe post-wash return</t>
  </si>
  <si>
    <t>Selection and hydraulic evidence</t>
  </si>
  <si>
    <t>Instrument functions</t>
  </si>
  <si>
    <t>Protective monitoring and shutdown</t>
  </si>
  <si>
    <t>Interlock requirement register</t>
  </si>
  <si>
    <t>CALC-10G - Master Equipment / Nozzle/ Interface Schedule</t>
  </si>
  <si>
    <t>Nozzle</t>
  </si>
  <si>
    <t>N101-01</t>
  </si>
  <si>
    <t>N101-02</t>
  </si>
  <si>
    <t>N101-03</t>
  </si>
  <si>
    <t>N101-04</t>
  </si>
  <si>
    <t>N101-05</t>
  </si>
  <si>
    <t>N101-06</t>
  </si>
  <si>
    <t>N102-01</t>
  </si>
  <si>
    <t>N102-02</t>
  </si>
  <si>
    <t>N102-03</t>
  </si>
  <si>
    <t>N102-04</t>
  </si>
  <si>
    <t>N102-05</t>
  </si>
  <si>
    <t>V-103</t>
  </si>
  <si>
    <t>V-104</t>
  </si>
  <si>
    <t>V-105</t>
  </si>
  <si>
    <t>V-106</t>
  </si>
  <si>
    <t>Lower recirculation inlet</t>
  </si>
  <si>
    <t>Top liquid overflow</t>
  </si>
  <si>
    <t>Cone carbon discharge</t>
  </si>
  <si>
    <t>Vent/offgass connection</t>
  </si>
  <si>
    <t>Rinse/ Approved chemical interface</t>
  </si>
  <si>
    <t>Level/ temperature instrument</t>
  </si>
  <si>
    <t>Recirculation Suctions</t>
  </si>
  <si>
    <t>Gravity liquid return</t>
  </si>
  <si>
    <t>Waste/drain interface</t>
  </si>
  <si>
    <t>Vent/Offgass connection</t>
  </si>
  <si>
    <t>Level/Instrument interface</t>
  </si>
  <si>
    <t>Design Freeze Register</t>
  </si>
  <si>
    <t>Item</t>
  </si>
  <si>
    <t>Classification</t>
  </si>
  <si>
    <t>Control</t>
  </si>
  <si>
    <t>DF-01</t>
  </si>
  <si>
    <t>DF-02</t>
  </si>
  <si>
    <t>DF-03</t>
  </si>
  <si>
    <t>DF-04</t>
  </si>
  <si>
    <t>DF-05</t>
  </si>
  <si>
    <t>DF-06</t>
  </si>
  <si>
    <t>DF-07</t>
  </si>
  <si>
    <t>DF-08</t>
  </si>
  <si>
    <t>DF-09</t>
  </si>
  <si>
    <t>DF-10</t>
  </si>
  <si>
    <t>DF-11</t>
  </si>
  <si>
    <t>DF-12</t>
  </si>
  <si>
    <t>DF-13</t>
  </si>
  <si>
    <t>DF-14</t>
  </si>
  <si>
    <t>DF-15</t>
  </si>
  <si>
    <t>DF-16</t>
  </si>
  <si>
    <t>1000 kg carbon/batch</t>
  </si>
  <si>
    <t>V-101 dan V-102 Architecture</t>
  </si>
  <si>
    <t>Gravity carbon discharge concept</t>
  </si>
  <si>
    <t>Upflow through bed</t>
  </si>
  <si>
    <t>top overflow via SC-101</t>
  </si>
  <si>
    <t>V-102 below overflow</t>
  </si>
  <si>
    <t>B: 3.396 m3</t>
  </si>
  <si>
    <t>D1500, cone H600, outlet D150</t>
  </si>
  <si>
    <t>4m3/h recirculation</t>
  </si>
  <si>
    <t>S2 preferred candidate</t>
  </si>
  <si>
    <t>Commercial water-tank conctruction</t>
  </si>
  <si>
    <t>T1/T2/T3 carbon transfer</t>
  </si>
  <si>
    <t>Acid washing chemistry</t>
  </si>
  <si>
    <t>HCN Protection/physical segregation</t>
  </si>
  <si>
    <t>CONFIRMED</t>
  </si>
  <si>
    <t>STUDY BASIS</t>
  </si>
  <si>
    <t>PROPOSED</t>
  </si>
  <si>
    <t>NOT APPROVED</t>
  </si>
  <si>
    <t>UNSELECTED</t>
  </si>
  <si>
    <t>UNVALIDATED</t>
  </si>
  <si>
    <t>Retain</t>
  </si>
  <si>
    <t>Verify</t>
  </si>
  <si>
    <t>Evaluate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</si>
</sst>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4" xfId="0" applyFont="1" applyBorder="1"/>
    <xf numFmtId="0" fontId="3" fillId="0" borderId="1" xfId="0" applyFont="1" applyBorder="1"/>
    <xf numFmtId="0" fontId="3" fillId="0" borderId="2" xfId="0" applyFont="1" applyBorder="1"/>
    <xf numFmtId="0" fontId="4" fillId="0" borderId="0" xfId="0" applyFont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9" fontId="0" fillId="0" borderId="8" xfId="1" applyFont="1" applyBorder="1"/>
    <xf numFmtId="10" fontId="0" fillId="0" borderId="8" xfId="0" applyNumberFormat="1" applyBorder="1"/>
    <xf numFmtId="0" fontId="5" fillId="0" borderId="4" xfId="0" applyFont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5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3" xfId="0" applyFill="1" applyBorder="1"/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3" fillId="0" borderId="0" xfId="0" applyFont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4" xfId="0" applyFill="1" applyBorder="1"/>
    <xf numFmtId="0" fontId="0" fillId="6" borderId="0" xfId="0" applyFill="1"/>
    <xf numFmtId="0" fontId="0" fillId="6" borderId="5" xfId="0" applyFill="1" applyBorder="1" applyAlignment="1">
      <alignment horizontal="center"/>
    </xf>
    <xf numFmtId="0" fontId="0" fillId="6" borderId="5" xfId="0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0" borderId="4" xfId="0" applyBorder="1" applyAlignment="1">
      <alignment wrapText="1"/>
    </xf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2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center" vertical="center"/>
    </xf>
    <xf numFmtId="0" fontId="0" fillId="8" borderId="1" xfId="0" applyFill="1" applyBorder="1"/>
    <xf numFmtId="0" fontId="0" fillId="5" borderId="0" xfId="0" applyFill="1" applyAlignment="1">
      <alignment horizontal="center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7" borderId="1" xfId="0" applyFill="1" applyBorder="1"/>
    <xf numFmtId="0" fontId="0" fillId="7" borderId="2" xfId="0" applyFill="1" applyBorder="1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8" borderId="4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Height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'PRELIMINARY CALCULATION'!$B$55:$B$57</c:f>
              <c:strCache>
                <c:ptCount val="3"/>
                <c:pt idx="0">
                  <c:v>450 kg/m3</c:v>
                </c:pt>
                <c:pt idx="1">
                  <c:v>500 kg/m3</c:v>
                </c:pt>
                <c:pt idx="2">
                  <c:v>550 kg/m3</c:v>
                </c:pt>
              </c:strCache>
            </c:strRef>
          </c:cat>
          <c:val>
            <c:numRef>
              <c:f>'PRELIMINARY CALCULATION'!$E$55:$E$57</c:f>
              <c:numCache>
                <c:formatCode>General</c:formatCode>
                <c:ptCount val="3"/>
                <c:pt idx="0">
                  <c:v>1.258</c:v>
                </c:pt>
                <c:pt idx="1">
                  <c:v>1.1319999999999999</c:v>
                </c:pt>
                <c:pt idx="2">
                  <c:v>1.0289999999999999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D-4186-84CE-A577DCDC6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7136704"/>
        <c:axId val="1124097632"/>
      </c:barChart>
      <c:catAx>
        <c:axId val="32713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097632"/>
        <c:crosses val="autoZero"/>
        <c:auto val="1"/>
        <c:lblAlgn val="ctr"/>
        <c:lblOffset val="100"/>
        <c:noMultiLvlLbl val="0"/>
      </c:catAx>
      <c:valAx>
        <c:axId val="11240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3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sv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sv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sv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6" Type="http://schemas.openxmlformats.org/officeDocument/2006/relationships/image" Target="../media/image17.svg"/><Relationship Id="rId5" Type="http://schemas.openxmlformats.org/officeDocument/2006/relationships/image" Target="../media/image16.png"/><Relationship Id="rId4" Type="http://schemas.openxmlformats.org/officeDocument/2006/relationships/image" Target="../media/image1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21</xdr:row>
      <xdr:rowOff>121920</xdr:rowOff>
    </xdr:from>
    <xdr:to>
      <xdr:col>1</xdr:col>
      <xdr:colOff>1565677</xdr:colOff>
      <xdr:row>25</xdr:row>
      <xdr:rowOff>47717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E7EEA-CA5F-7DA8-213C-FC6B1AA9C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3962400"/>
          <a:ext cx="1543265" cy="657317"/>
        </a:xfrm>
        <a:prstGeom prst="rect">
          <a:avLst/>
        </a:prstGeom>
      </xdr:spPr>
    </xdr:pic>
    <xdr:clientData/>
  </xdr:twoCellAnchor>
  <xdr:oneCellAnchor>
    <xdr:from>
      <xdr:col>1</xdr:col>
      <xdr:colOff>53340</xdr:colOff>
      <xdr:row>38</xdr:row>
      <xdr:rowOff>163830</xdr:rowOff>
    </xdr:from>
    <xdr:ext cx="2134559" cy="478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068D78-771D-8448-B6EB-F1ECDB866723}"/>
                </a:ext>
              </a:extLst>
            </xdr:cNvPr>
            <xdr:cNvSpPr txBox="1"/>
          </xdr:nvSpPr>
          <xdr:spPr>
            <a:xfrm>
              <a:off x="662940" y="6259830"/>
              <a:ext cx="2134559" cy="478464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2000" i="0">
                  <a:latin typeface="+mn-lt"/>
                </a:rPr>
                <a:t>A=</a:t>
              </a:r>
              <a:r>
                <a:rPr lang="id-ID" sz="2000" i="0" baseline="0">
                  <a:latin typeface="+mn-lt"/>
                </a:rPr>
                <a:t> </a:t>
              </a:r>
              <a14:m>
                <m:oMath xmlns:m="http://schemas.openxmlformats.org/officeDocument/2006/math">
                  <m:f>
                    <m:f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𝜋</m:t>
                      </m:r>
                      <m:sSup>
                        <m:sSupPr>
                          <m:ctrlPr>
                            <a:rPr lang="id-ID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d-ID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(1.52)</m:t>
                          </m:r>
                        </m:e>
                        <m:sup>
                          <m:r>
                            <a:rPr lang="id-ID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num>
                    <m:den>
                      <m:r>
                        <a:rPr lang="id-ID" sz="2000" b="0" i="1">
                          <a:latin typeface="Cambria Math" panose="02040503050406030204" pitchFamily="18" charset="0"/>
                        </a:rPr>
                        <m:t>4</m:t>
                      </m:r>
                    </m:den>
                  </m:f>
                  <m:r>
                    <a:rPr lang="id-ID" sz="2000" b="0" i="1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id-ID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id-ID" sz="2000" b="0" i="1">
                          <a:latin typeface="Cambria Math" panose="02040503050406030204" pitchFamily="18" charset="0"/>
                        </a:rPr>
                        <m:t>1.767</m:t>
                      </m:r>
                    </m:e>
                    <m:sup>
                      <m:r>
                        <a:rPr lang="id-ID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endParaRPr lang="en-US" sz="2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068D78-771D-8448-B6EB-F1ECDB866723}"/>
                </a:ext>
              </a:extLst>
            </xdr:cNvPr>
            <xdr:cNvSpPr txBox="1"/>
          </xdr:nvSpPr>
          <xdr:spPr>
            <a:xfrm>
              <a:off x="662940" y="6259830"/>
              <a:ext cx="2134559" cy="478464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2000" i="0">
                  <a:latin typeface="+mn-lt"/>
                </a:rPr>
                <a:t>A=</a:t>
              </a:r>
              <a:r>
                <a:rPr lang="id-ID" sz="2000" i="0" baseline="0">
                  <a:latin typeface="+mn-lt"/>
                </a:rPr>
                <a:t> 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(𝜋</a:t>
              </a:r>
              <a:r>
                <a:rPr lang="id-ID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〖(1.52)〗^2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</a:t>
              </a:r>
              <a:r>
                <a:rPr lang="id-ID" sz="2000" b="0" i="0">
                  <a:latin typeface="Cambria Math" panose="02040503050406030204" pitchFamily="18" charset="0"/>
                </a:rPr>
                <a:t>4=〖1.767〗^2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599291</xdr:colOff>
      <xdr:row>48</xdr:row>
      <xdr:rowOff>10534</xdr:rowOff>
    </xdr:from>
    <xdr:ext cx="2251486" cy="4626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4D0D2B8-CBA6-9941-C8A1-56C75F900F5A}"/>
                </a:ext>
              </a:extLst>
            </xdr:cNvPr>
            <xdr:cNvSpPr txBox="1"/>
          </xdr:nvSpPr>
          <xdr:spPr>
            <a:xfrm>
              <a:off x="599291" y="8616652"/>
              <a:ext cx="2251486" cy="46262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𝑏𝑒𝑑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2.00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1.767</m:t>
                        </m:r>
                      </m:den>
                    </m:f>
                    <m:r>
                      <a:rPr lang="id-ID" sz="1600" b="0" i="1">
                        <a:latin typeface="Cambria Math" panose="02040503050406030204" pitchFamily="18" charset="0"/>
                      </a:rPr>
                      <m:t>=1.132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4D0D2B8-CBA6-9941-C8A1-56C75F900F5A}"/>
                </a:ext>
              </a:extLst>
            </xdr:cNvPr>
            <xdr:cNvSpPr txBox="1"/>
          </xdr:nvSpPr>
          <xdr:spPr>
            <a:xfrm>
              <a:off x="599291" y="8616652"/>
              <a:ext cx="2251486" cy="46262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𝐻_𝑏𝑒𝑑=2.00/1.767=1.132 𝑚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</xdr:col>
      <xdr:colOff>22411</xdr:colOff>
      <xdr:row>35</xdr:row>
      <xdr:rowOff>98612</xdr:rowOff>
    </xdr:from>
    <xdr:ext cx="1448410" cy="492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DA74940-A2EE-0746-A945-B40139D83657}"/>
                </a:ext>
              </a:extLst>
            </xdr:cNvPr>
            <xdr:cNvSpPr txBox="1"/>
          </xdr:nvSpPr>
          <xdr:spPr>
            <a:xfrm>
              <a:off x="632011" y="6373906"/>
              <a:ext cx="1448410" cy="492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= </m:t>
                    </m:r>
                    <m:r>
                      <a:rPr lang="id-ID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id-ID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sSup>
                          <m:sSupPr>
                            <m:ctrlP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  <m:sup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DA74940-A2EE-0746-A945-B40139D83657}"/>
                </a:ext>
              </a:extLst>
            </xdr:cNvPr>
            <xdr:cNvSpPr txBox="1"/>
          </xdr:nvSpPr>
          <xdr:spPr>
            <a:xfrm>
              <a:off x="632011" y="6373906"/>
              <a:ext cx="1448410" cy="492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𝐴= </a:t>
              </a:r>
              <a:r>
                <a:rPr lang="id-ID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𝜋𝑟^2=(𝜋𝐷^2)/4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22411</xdr:colOff>
      <xdr:row>21</xdr:row>
      <xdr:rowOff>143435</xdr:rowOff>
    </xdr:from>
    <xdr:ext cx="2014269" cy="1035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611DB70-D46B-5812-1100-076B30E28096}"/>
                </a:ext>
              </a:extLst>
            </xdr:cNvPr>
            <xdr:cNvSpPr txBox="1"/>
          </xdr:nvSpPr>
          <xdr:spPr>
            <a:xfrm>
              <a:off x="4836458" y="3908611"/>
              <a:ext cx="2014269" cy="1035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id-ID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  <m:oMath>
                    <m:sSub>
                      <m:sSubPr>
                        <m:ctrlPr>
                          <a:rPr lang="id-ID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2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𝑉𝑜𝑙𝑢𝑚𝑒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𝑏𝑢𝑙𝑘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𝑐𝑎𝑟𝑏𝑜𝑛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3</m:t>
                    </m:r>
                  </m:oMath>
                  <m:oMath>
                    <m:sSub>
                      <m:sSubPr>
                        <m:ctrlPr>
                          <a:rPr lang="id-ID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2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id-ID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𝑀𝑎𝑠𝑠𝑎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𝐶𝑎𝑟𝑏𝑜𝑛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id-ID" sz="1200" b="0" i="1">
                        <a:latin typeface="Cambria Math" panose="02040503050406030204" pitchFamily="18" charset="0"/>
                      </a:rPr>
                      <m:t>𝑘𝑔</m:t>
                    </m:r>
                  </m:oMath>
                  <m:oMath>
                    <m:sSub>
                      <m:sSubPr>
                        <m:ctrlPr>
                          <a:rPr lang="id-ID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id-ID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id-ID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id-ID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𝐵𝑢𝑙𝑘</m:t>
                    </m:r>
                    <m:r>
                      <a:rPr lang="id-ID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id-ID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𝑑𝑒𝑛𝑠𝑖𝑡𝑦</m:t>
                    </m:r>
                    <m:r>
                      <a:rPr lang="id-ID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r>
                      <a:rPr lang="id-ID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𝑘𝑔</m:t>
                    </m:r>
                    <m:r>
                      <a:rPr lang="id-ID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/</m:t>
                    </m:r>
                    <m:sSup>
                      <m:sSupPr>
                        <m:ctrlPr>
                          <a:rPr lang="id-ID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611DB70-D46B-5812-1100-076B30E28096}"/>
                </a:ext>
              </a:extLst>
            </xdr:cNvPr>
            <xdr:cNvSpPr txBox="1"/>
          </xdr:nvSpPr>
          <xdr:spPr>
            <a:xfrm>
              <a:off x="4836458" y="3908611"/>
              <a:ext cx="2014269" cy="1035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𝑉_𝑐=𝑚_𝑐/</a:t>
              </a:r>
              <a:r>
                <a:rPr lang="id-ID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</a:t>
              </a:r>
              <a:r>
                <a:rPr lang="id-ID" sz="1600" b="0" i="0">
                  <a:latin typeface="Cambria Math" panose="02040503050406030204" pitchFamily="18" charset="0"/>
                </a:rPr>
                <a:t>𝑏 </a:t>
              </a:r>
              <a:br>
                <a:rPr lang="id-ID" sz="1600" b="0"/>
              </a:br>
              <a:r>
                <a:rPr lang="id-ID" sz="1200" b="0" i="0">
                  <a:latin typeface="Cambria Math" panose="02040503050406030204" pitchFamily="18" charset="0"/>
                </a:rPr>
                <a:t>𝑉_𝑐=𝑉𝑜𝑙𝑢𝑚𝑒 𝑏𝑢𝑙𝑘 𝑐𝑎𝑟𝑏𝑜𝑛, 𝑚3</a:t>
              </a:r>
              <a:br>
                <a:rPr lang="id-ID" sz="1200" b="0"/>
              </a:br>
              <a:r>
                <a:rPr lang="id-ID" sz="1200" b="0" i="0">
                  <a:latin typeface="Cambria Math" panose="02040503050406030204" pitchFamily="18" charset="0"/>
                </a:rPr>
                <a:t>𝑀_𝑐=𝑀𝑎𝑠𝑠𝑎 𝐶𝑎𝑟𝑏𝑜𝑛, 𝑘𝑔</a:t>
              </a:r>
              <a:br>
                <a:rPr lang="id-ID" sz="1200" b="0"/>
              </a:br>
              <a:r>
                <a:rPr lang="id-ID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𝜌_𝑏=𝐵𝑢𝑙𝑘 𝑑𝑒𝑛𝑠𝑖𝑡𝑦, 𝑘𝑔/𝑚^3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4</xdr:col>
      <xdr:colOff>515468</xdr:colOff>
      <xdr:row>28</xdr:row>
      <xdr:rowOff>98611</xdr:rowOff>
    </xdr:from>
    <xdr:ext cx="1528483" cy="7203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CC7957B-A3F6-23EE-C3AC-FEAD71187A3B}"/>
                </a:ext>
              </a:extLst>
            </xdr:cNvPr>
            <xdr:cNvSpPr txBox="1"/>
          </xdr:nvSpPr>
          <xdr:spPr>
            <a:xfrm>
              <a:off x="4719915" y="5118846"/>
              <a:ext cx="1528483" cy="72039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1000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500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=2.000 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CC7957B-A3F6-23EE-C3AC-FEAD71187A3B}"/>
                </a:ext>
              </a:extLst>
            </xdr:cNvPr>
            <xdr:cNvSpPr txBox="1"/>
          </xdr:nvSpPr>
          <xdr:spPr>
            <a:xfrm>
              <a:off x="4719915" y="5118846"/>
              <a:ext cx="1528483" cy="72039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𝑉_𝑐=1000/500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𝑉_𝑐=2.000 𝑚^3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0</xdr:col>
      <xdr:colOff>605117</xdr:colOff>
      <xdr:row>44</xdr:row>
      <xdr:rowOff>89647</xdr:rowOff>
    </xdr:from>
    <xdr:ext cx="701089" cy="4594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2E233B-58DE-9DE6-6472-39C3A71EAAEA}"/>
                </a:ext>
              </a:extLst>
            </xdr:cNvPr>
            <xdr:cNvSpPr txBox="1"/>
          </xdr:nvSpPr>
          <xdr:spPr>
            <a:xfrm>
              <a:off x="605117" y="7978588"/>
              <a:ext cx="701089" cy="459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id-ID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2E233B-58DE-9DE6-6472-39C3A71EAAEA}"/>
                </a:ext>
              </a:extLst>
            </xdr:cNvPr>
            <xdr:cNvSpPr txBox="1"/>
          </xdr:nvSpPr>
          <xdr:spPr>
            <a:xfrm>
              <a:off x="605117" y="7978588"/>
              <a:ext cx="701089" cy="459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𝐻_𝑐=𝑉_𝑐/𝐴</a:t>
              </a:r>
              <a:endParaRPr lang="en-US" sz="1600"/>
            </a:p>
          </xdr:txBody>
        </xdr:sp>
      </mc:Fallback>
    </mc:AlternateContent>
    <xdr:clientData/>
  </xdr:oneCellAnchor>
  <xdr:twoCellAnchor>
    <xdr:from>
      <xdr:col>1</xdr:col>
      <xdr:colOff>865095</xdr:colOff>
      <xdr:row>58</xdr:row>
      <xdr:rowOff>80680</xdr:rowOff>
    </xdr:from>
    <xdr:to>
      <xdr:col>6</xdr:col>
      <xdr:colOff>596154</xdr:colOff>
      <xdr:row>74</xdr:row>
      <xdr:rowOff>116540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631401-9729-3B9D-4F17-1B71AD4E1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27213</xdr:colOff>
      <xdr:row>21</xdr:row>
      <xdr:rowOff>136071</xdr:rowOff>
    </xdr:from>
    <xdr:ext cx="2680128" cy="8231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C8F8D94-4F67-BE6C-00C9-CAD29728EECE}"/>
                </a:ext>
              </a:extLst>
            </xdr:cNvPr>
            <xdr:cNvSpPr txBox="1"/>
          </xdr:nvSpPr>
          <xdr:spPr>
            <a:xfrm>
              <a:off x="8238884" y="4143295"/>
              <a:ext cx="2680128" cy="8231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𝑎𝑏𝑜𝑣𝑒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𝑡𝑜𝑟𝑒𝑛𝑡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id-ID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𝑎𝑏𝑜𝑣𝑒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𝑡𝑜𝑟𝑒𝑛𝑡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=2.82 −1.131</m:t>
                    </m:r>
                  </m:oMath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𝑎𝑏𝑜𝑣𝑒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𝑡𝑜𝑟𝑒𝑛𝑡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=1.69 </m:t>
                    </m:r>
                    <m:r>
                      <a:rPr lang="id-ID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C8F8D94-4F67-BE6C-00C9-CAD29728EECE}"/>
                </a:ext>
              </a:extLst>
            </xdr:cNvPr>
            <xdr:cNvSpPr txBox="1"/>
          </xdr:nvSpPr>
          <xdr:spPr>
            <a:xfrm>
              <a:off x="8238884" y="4143295"/>
              <a:ext cx="2680128" cy="8231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d-ID" sz="1400" b="0" i="0">
                  <a:latin typeface="Cambria Math" panose="02040503050406030204" pitchFamily="18" charset="0"/>
                </a:rPr>
                <a:t>𝐻_(𝑎𝑏𝑜𝑣𝑒.𝑡𝑜𝑟𝑒𝑛𝑡 𝑡𝑜𝑘𝑜)=𝐻_𝐴−𝐻_𝑐</a:t>
              </a:r>
              <a:br>
                <a:rPr lang="id-ID" sz="1400" b="0" i="1">
                  <a:latin typeface="Cambria Math" panose="02040503050406030204" pitchFamily="18" charset="0"/>
                </a:rPr>
              </a:b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𝐻_(𝑎𝑏𝑜𝑣𝑒.𝑡𝑜𝑟𝑒𝑛𝑡 𝑡𝑜𝑘𝑜)</a:t>
              </a:r>
              <a:r>
                <a:rPr lang="id-ID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=2.82 −1.131</a:t>
              </a:r>
              <a:br>
                <a:rPr lang="id-ID" sz="14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</a:b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𝐻_(𝑎𝑏𝑜𝑣𝑒.𝑡𝑜𝑟𝑒𝑛𝑡 𝑡𝑜𝑘𝑜)</a:t>
              </a:r>
              <a:r>
                <a:rPr lang="id-ID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=1.69 𝑚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0</xdr:colOff>
      <xdr:row>28</xdr:row>
      <xdr:rowOff>0</xdr:rowOff>
    </xdr:from>
    <xdr:ext cx="2680128" cy="8231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2D3A09E-7F5F-441D-BBF6-34D3AE397647}"/>
                </a:ext>
              </a:extLst>
            </xdr:cNvPr>
            <xdr:cNvSpPr txBox="1"/>
          </xdr:nvSpPr>
          <xdr:spPr>
            <a:xfrm>
              <a:off x="8211671" y="5262282"/>
              <a:ext cx="2680128" cy="8231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𝑎𝑏𝑜𝑣𝑒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𝑡𝑜𝑟𝑒𝑛𝑡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id-ID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𝑎𝑏𝑜𝑣𝑒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𝑡𝑜𝑟𝑒𝑛𝑡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=5000 −2000</m:t>
                    </m:r>
                  </m:oMath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𝑎𝑏𝑜𝑣𝑒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𝑡𝑜𝑟𝑒𝑛𝑡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=3000 </m:t>
                    </m:r>
                    <m:sSup>
                      <m:sSupPr>
                        <m:ctrlPr>
                          <a:rPr lang="id-ID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d-ID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p>
                        <m:r>
                          <a:rPr lang="id-ID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2D3A09E-7F5F-441D-BBF6-34D3AE397647}"/>
                </a:ext>
              </a:extLst>
            </xdr:cNvPr>
            <xdr:cNvSpPr txBox="1"/>
          </xdr:nvSpPr>
          <xdr:spPr>
            <a:xfrm>
              <a:off x="8211671" y="5262282"/>
              <a:ext cx="2680128" cy="8231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d-ID" sz="1400" b="0" i="0">
                  <a:latin typeface="Cambria Math" panose="02040503050406030204" pitchFamily="18" charset="0"/>
                </a:rPr>
                <a:t>𝐻_(𝑎𝑏𝑜𝑣𝑒.𝑡𝑜𝑟𝑒𝑛𝑡 𝑡𝑜𝑘𝑜)=𝑉_𝐴−𝑉_𝑐</a:t>
              </a:r>
              <a:br>
                <a:rPr lang="id-ID" sz="1400" b="0" i="1">
                  <a:latin typeface="Cambria Math" panose="02040503050406030204" pitchFamily="18" charset="0"/>
                </a:rPr>
              </a:b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𝐻_(𝑎𝑏𝑜𝑣𝑒.𝑡𝑜𝑟𝑒𝑛𝑡 𝑡𝑜𝑘𝑜)</a:t>
              </a:r>
              <a:r>
                <a:rPr lang="id-ID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=5000 −2000</a:t>
              </a:r>
              <a:br>
                <a:rPr lang="id-ID" sz="14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</a:b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𝐻_(𝑎𝑏𝑜𝑣𝑒.𝑡𝑜𝑟𝑒𝑛𝑡 𝑡𝑜𝑘𝑜)</a:t>
              </a:r>
              <a:r>
                <a:rPr lang="id-ID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=3000 𝑚^3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8</xdr:col>
      <xdr:colOff>600634</xdr:colOff>
      <xdr:row>34</xdr:row>
      <xdr:rowOff>0</xdr:rowOff>
    </xdr:from>
    <xdr:ext cx="917367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482387-9401-5B28-A314-C9BD7CEC3F44}"/>
                </a:ext>
              </a:extLst>
            </xdr:cNvPr>
            <xdr:cNvSpPr txBox="1"/>
          </xdr:nvSpPr>
          <xdr:spPr>
            <a:xfrm>
              <a:off x="8187977" y="6574971"/>
              <a:ext cx="917367" cy="25282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=40%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482387-9401-5B28-A314-C9BD7CEC3F44}"/>
                </a:ext>
              </a:extLst>
            </xdr:cNvPr>
            <xdr:cNvSpPr txBox="1"/>
          </xdr:nvSpPr>
          <xdr:spPr>
            <a:xfrm>
              <a:off x="8187977" y="6574971"/>
              <a:ext cx="917367" cy="25282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𝐹_𝐴=40%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9</xdr:col>
      <xdr:colOff>27213</xdr:colOff>
      <xdr:row>38</xdr:row>
      <xdr:rowOff>136071</xdr:rowOff>
    </xdr:from>
    <xdr:ext cx="2680128" cy="8231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A67F8A7-890F-4F29-A3D2-9D6C3EEDCB18}"/>
                </a:ext>
              </a:extLst>
            </xdr:cNvPr>
            <xdr:cNvSpPr txBox="1"/>
          </xdr:nvSpPr>
          <xdr:spPr>
            <a:xfrm>
              <a:off x="8224156" y="4261757"/>
              <a:ext cx="2680128" cy="8231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𝑎𝑏𝑜𝑣𝑒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𝑐𝑢𝑠𝑡𝑜𝑚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𝑎𝑏𝑜𝑣𝑒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𝑐𝑢𝑠𝑡𝑜𝑚</m:t>
                        </m:r>
                      </m:sub>
                    </m:sSub>
                    <m:r>
                      <a:rPr lang="id-ID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=2.30 −1.131</m:t>
                    </m:r>
                  </m:oMath>
                  <m:oMath>
                    <m:sSub>
                      <m:sSub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𝑎𝑏𝑜𝑣𝑒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𝑐𝑢𝑠𝑡𝑜𝑚</m:t>
                        </m:r>
                      </m:sub>
                    </m:sSub>
                    <m:r>
                      <a:rPr lang="id-ID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=1.68 </m:t>
                    </m:r>
                    <m:r>
                      <a:rPr lang="id-ID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A67F8A7-890F-4F29-A3D2-9D6C3EEDCB18}"/>
                </a:ext>
              </a:extLst>
            </xdr:cNvPr>
            <xdr:cNvSpPr txBox="1"/>
          </xdr:nvSpPr>
          <xdr:spPr>
            <a:xfrm>
              <a:off x="8224156" y="4261757"/>
              <a:ext cx="2680128" cy="8231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𝐻_(𝑎𝑏𝑜𝑣𝑒.𝑐𝑢𝑠𝑡𝑜𝑚)=𝐻_𝐴−𝐻_𝑐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𝐻_(𝑎𝑏𝑜𝑣𝑒.𝑐𝑢𝑠𝑡𝑜𝑚)</a:t>
              </a:r>
              <a:r>
                <a:rPr lang="id-ID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=2.30 −1.131</a:t>
              </a:r>
              <a:br>
                <a:rPr lang="id-ID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</a:b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𝐻_(𝑎𝑏𝑜𝑣𝑒.𝑐𝑢𝑠𝑡𝑜𝑚)</a:t>
              </a:r>
              <a:r>
                <a:rPr lang="id-ID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=1.68 𝑚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9</xdr:col>
      <xdr:colOff>0</xdr:colOff>
      <xdr:row>45</xdr:row>
      <xdr:rowOff>0</xdr:rowOff>
    </xdr:from>
    <xdr:ext cx="2680128" cy="8231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3C947BB-F66B-4C88-93CE-3D70C6C307FE}"/>
                </a:ext>
              </a:extLst>
            </xdr:cNvPr>
            <xdr:cNvSpPr txBox="1"/>
          </xdr:nvSpPr>
          <xdr:spPr>
            <a:xfrm>
              <a:off x="8196943" y="5421086"/>
              <a:ext cx="2680128" cy="8231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𝑎𝑏𝑜𝑣𝑒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𝑡𝑜𝑟𝑒𝑛𝑡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id-ID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𝑎𝑏𝑜𝑣𝑒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𝑡𝑜𝑟𝑒𝑛𝑡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=4.06 −2000</m:t>
                    </m:r>
                  </m:oMath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𝑎𝑏𝑜𝑣𝑒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𝑡𝑜𝑟𝑒𝑛𝑡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𝑡𝑜𝑘𝑜</m:t>
                        </m:r>
                      </m:sub>
                    </m:sSub>
                    <m:r>
                      <a:rPr lang="id-ID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=2.064 </m:t>
                    </m:r>
                    <m:sSup>
                      <m:sSupPr>
                        <m:ctrlPr>
                          <a:rPr lang="id-ID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d-ID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p>
                        <m:r>
                          <a:rPr lang="id-ID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3C947BB-F66B-4C88-93CE-3D70C6C307FE}"/>
                </a:ext>
              </a:extLst>
            </xdr:cNvPr>
            <xdr:cNvSpPr txBox="1"/>
          </xdr:nvSpPr>
          <xdr:spPr>
            <a:xfrm>
              <a:off x="8196943" y="5421086"/>
              <a:ext cx="2680128" cy="8231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d-ID" sz="1400" b="0" i="0">
                  <a:latin typeface="Cambria Math" panose="02040503050406030204" pitchFamily="18" charset="0"/>
                </a:rPr>
                <a:t>𝐻_(𝑎𝑏𝑜𝑣𝑒.𝑡𝑜𝑟𝑒𝑛𝑡 𝑡𝑜𝑘𝑜)=𝑉_𝐴−𝑉_𝑐</a:t>
              </a:r>
              <a:br>
                <a:rPr lang="id-ID" sz="1400" b="0" i="1">
                  <a:latin typeface="Cambria Math" panose="02040503050406030204" pitchFamily="18" charset="0"/>
                </a:rPr>
              </a:b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𝐻_(𝑎𝑏𝑜𝑣𝑒.𝑡𝑜𝑟𝑒𝑛𝑡 𝑡𝑜𝑘𝑜)</a:t>
              </a:r>
              <a:r>
                <a:rPr lang="id-ID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=4.06 −2000</a:t>
              </a:r>
              <a:br>
                <a:rPr lang="id-ID" sz="14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</a:b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𝐻_(𝑎𝑏𝑜𝑣𝑒.𝑡𝑜𝑟𝑒𝑛𝑡 𝑡𝑜𝑘𝑜)</a:t>
              </a:r>
              <a:r>
                <a:rPr lang="id-ID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=2.064 𝑚^3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8</xdr:col>
      <xdr:colOff>600634</xdr:colOff>
      <xdr:row>51</xdr:row>
      <xdr:rowOff>0</xdr:rowOff>
    </xdr:from>
    <xdr:ext cx="1186672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28EA518-D664-4A27-A58C-8CB360427C93}"/>
                </a:ext>
              </a:extLst>
            </xdr:cNvPr>
            <xdr:cNvSpPr txBox="1"/>
          </xdr:nvSpPr>
          <xdr:spPr>
            <a:xfrm>
              <a:off x="8187977" y="9731829"/>
              <a:ext cx="1186672" cy="25282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=49.21%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28EA518-D664-4A27-A58C-8CB360427C93}"/>
                </a:ext>
              </a:extLst>
            </xdr:cNvPr>
            <xdr:cNvSpPr txBox="1"/>
          </xdr:nvSpPr>
          <xdr:spPr>
            <a:xfrm>
              <a:off x="8187977" y="9731829"/>
              <a:ext cx="1186672" cy="25282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𝐹_𝐴=49.21%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9</xdr:col>
      <xdr:colOff>13854</xdr:colOff>
      <xdr:row>56</xdr:row>
      <xdr:rowOff>110835</xdr:rowOff>
    </xdr:from>
    <xdr:ext cx="1126912" cy="26778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9278A1C-EFD0-FDEF-07C7-38A89D3F944B}"/>
                </a:ext>
              </a:extLst>
            </xdr:cNvPr>
            <xdr:cNvSpPr txBox="1"/>
          </xdr:nvSpPr>
          <xdr:spPr>
            <a:xfrm>
              <a:off x="8215745" y="10695708"/>
              <a:ext cx="1126912" cy="2677849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𝐵𝑉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𝐵𝑉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ℎ</m:t>
                        </m:r>
                      </m:den>
                    </m:f>
                  </m:oMath>
                </m:oMathPara>
              </a14:m>
              <a:endParaRPr lang="id-ID" sz="1600"/>
            </a:p>
            <a:p>
              <a:pPr/>
              <a:br>
                <a:rPr lang="id-ID" sz="1600"/>
              </a:br>
              <a14:m>
                <m:oMathPara xmlns:m="http://schemas.openxmlformats.org/officeDocument/2006/math"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𝑉𝑜𝑙𝑢𝑚𝑒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𝑏𝑒𝑑</m:t>
                    </m:r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=2 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id-ID" sz="1600" b="0"/>
            </a:p>
            <a:p>
              <a:pPr/>
              <a:br>
                <a:rPr lang="id-ID" sz="1600" b="0"/>
              </a:br>
              <a14:m>
                <m:oMathPara xmlns:m="http://schemas.openxmlformats.org/officeDocument/2006/math"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𝑅𝑢𝑚𝑢𝑠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:</m:t>
                    </m:r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𝐵𝑉</m:t>
                        </m:r>
                      </m:sub>
                    </m:sSub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=2</m:t>
                    </m:r>
                    <m:d>
                      <m:d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d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=4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id-ID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ℎ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9278A1C-EFD0-FDEF-07C7-38A89D3F944B}"/>
                </a:ext>
              </a:extLst>
            </xdr:cNvPr>
            <xdr:cNvSpPr txBox="1"/>
          </xdr:nvSpPr>
          <xdr:spPr>
            <a:xfrm>
              <a:off x="8215745" y="10695708"/>
              <a:ext cx="1126912" cy="2677849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𝑀_𝐵𝑉=2𝐵𝑉/ℎ</a:t>
              </a:r>
              <a:endParaRPr lang="id-ID" sz="1600"/>
            </a:p>
            <a:p>
              <a:pPr/>
              <a:br>
                <a:rPr lang="id-ID" sz="1600"/>
              </a:br>
              <a:r>
                <a:rPr lang="id-ID" sz="1600" b="0" i="0">
                  <a:latin typeface="Cambria Math" panose="02040503050406030204" pitchFamily="18" charset="0"/>
                </a:rPr>
                <a:t>𝑉𝑜𝑙𝑢𝑚𝑒 𝑏𝑒𝑑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𝑉_𝑐=2 𝑚^3</a:t>
              </a:r>
              <a:endParaRPr lang="id-ID" sz="1600" b="0"/>
            </a:p>
            <a:p>
              <a:pPr/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𝑅𝑢𝑚𝑢𝑠: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𝑄_𝑅=𝑁_𝐵𝑉 𝑉_𝑐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𝑄_𝑟=2(2)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𝑄_𝑅=4 𝑚^3/ℎ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9</xdr:col>
      <xdr:colOff>1378032</xdr:colOff>
      <xdr:row>56</xdr:row>
      <xdr:rowOff>146957</xdr:rowOff>
    </xdr:from>
    <xdr:ext cx="3090526" cy="7032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6DAAA79-F164-B83F-5AD2-52F71D5729B3}"/>
                </a:ext>
              </a:extLst>
            </xdr:cNvPr>
            <xdr:cNvSpPr txBox="1"/>
          </xdr:nvSpPr>
          <xdr:spPr>
            <a:xfrm>
              <a:off x="9579923" y="10731830"/>
              <a:ext cx="3090526" cy="70320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𝐿𝑖𝑡𝑒𝑟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𝑝𝑒𝑟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𝑚𝑒𝑛𝑖𝑡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:</m:t>
                    </m:r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1000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60</m:t>
                        </m:r>
                      </m:den>
                    </m:f>
                    <m:r>
                      <a:rPr lang="id-ID" sz="1600" b="0" i="1">
                        <a:latin typeface="Cambria Math" panose="02040503050406030204" pitchFamily="18" charset="0"/>
                      </a:rPr>
                      <m:t>=66.67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𝑚𝑖𝑛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6DAAA79-F164-B83F-5AD2-52F71D5729B3}"/>
                </a:ext>
              </a:extLst>
            </xdr:cNvPr>
            <xdr:cNvSpPr txBox="1"/>
          </xdr:nvSpPr>
          <xdr:spPr>
            <a:xfrm>
              <a:off x="9579923" y="10731830"/>
              <a:ext cx="3090526" cy="70320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𝐿𝑖𝑡𝑒𝑟 𝑝𝑒𝑟 𝑚𝑒𝑛𝑖𝑡: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𝑄_(𝑅,𝐿/𝑚𝑖𝑛)=4𝑥1000/60=66.67 𝐿/𝑚𝑖𝑛</a:t>
              </a:r>
              <a:endParaRPr lang="en-US" sz="1600"/>
            </a:p>
          </xdr:txBody>
        </xdr:sp>
      </mc:Fallback>
    </mc:AlternateContent>
    <xdr:clientData/>
  </xdr:oneCellAnchor>
  <xdr:twoCellAnchor editAs="oneCell">
    <xdr:from>
      <xdr:col>18</xdr:col>
      <xdr:colOff>0</xdr:colOff>
      <xdr:row>25</xdr:row>
      <xdr:rowOff>0</xdr:rowOff>
    </xdr:from>
    <xdr:to>
      <xdr:col>23</xdr:col>
      <xdr:colOff>253253</xdr:colOff>
      <xdr:row>56</xdr:row>
      <xdr:rowOff>162594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E39523C5-D3E2-DDB8-2DB8-040F4016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8109" y="5001491"/>
          <a:ext cx="6535882" cy="6120048"/>
        </a:xfrm>
        <a:prstGeom prst="rect">
          <a:avLst/>
        </a:prstGeom>
      </xdr:spPr>
    </xdr:pic>
    <xdr:clientData/>
  </xdr:twoCellAnchor>
  <xdr:oneCellAnchor>
    <xdr:from>
      <xdr:col>27</xdr:col>
      <xdr:colOff>31375</xdr:colOff>
      <xdr:row>27</xdr:row>
      <xdr:rowOff>71716</xdr:rowOff>
    </xdr:from>
    <xdr:ext cx="2147945" cy="38486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01F3218-AA6B-88FB-9FAF-FF30B54555D9}"/>
                </a:ext>
              </a:extLst>
            </xdr:cNvPr>
            <xdr:cNvSpPr txBox="1"/>
          </xdr:nvSpPr>
          <xdr:spPr>
            <a:xfrm>
              <a:off x="22558866" y="5433425"/>
              <a:ext cx="2147945" cy="3848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=4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id-ID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ℎ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𝑂𝑣𝑒𝑟𝑓𝑙𝑜𝑤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𝐼𝑛𝑙𝑒𝑡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𝑂𝑣𝑒𝑟𝑓𝑙𝑜𝑤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=4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id-ID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ℎ</m:t>
                        </m:r>
                      </m:den>
                    </m:f>
                  </m:oMath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𝐿𝑢𝑎𝑠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𝑃𝑒𝑛𝑎𝑚𝑝𝑎𝑛𝑔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=1.7671 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br>
                <a:rPr lang="id-ID" sz="1600" b="0"/>
              </a:br>
              <a:br>
                <a:rPr lang="id-ID" sz="1600" b="0"/>
              </a:br>
              <a:r>
                <a:rPr lang="id-ID" sz="1600" b="0"/>
                <a:t>Kecepatan superficial</a:t>
              </a:r>
              <a:r>
                <a:rPr lang="id-ID" sz="1600" b="0" baseline="0"/>
                <a:t> naik: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1.7671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=2.264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ℎ</m:t>
                        </m:r>
                      </m:den>
                    </m:f>
                  </m:oMath>
                </m:oMathPara>
              </a14:m>
              <a:br>
                <a:rPr lang="id-ID" sz="1600" b="0"/>
              </a:br>
              <a:endParaRPr lang="en-US" sz="16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01F3218-AA6B-88FB-9FAF-FF30B54555D9}"/>
                </a:ext>
              </a:extLst>
            </xdr:cNvPr>
            <xdr:cNvSpPr txBox="1"/>
          </xdr:nvSpPr>
          <xdr:spPr>
            <a:xfrm>
              <a:off x="22558866" y="5433425"/>
              <a:ext cx="2147945" cy="3848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𝑄=4 𝑚^3/ℎ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𝑄_𝑂𝑣𝑒𝑟𝑓𝑙𝑜𝑤=𝑄_𝐼𝑛𝑙𝑒𝑡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𝑄_𝑂𝑣𝑒𝑟𝑓𝑙𝑜𝑤=4 𝑚^3/ℎ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𝐿𝑢𝑎𝑠 𝑃𝑒𝑛𝑎𝑚𝑝𝑎𝑛𝑔=1.7671 𝑚^2</a:t>
              </a:r>
              <a:br>
                <a:rPr lang="id-ID" sz="1600" b="0"/>
              </a:br>
              <a:br>
                <a:rPr lang="id-ID" sz="1600" b="0"/>
              </a:br>
              <a:r>
                <a:rPr lang="id-ID" sz="1600" b="0"/>
                <a:t>Kecepatan superficial</a:t>
              </a:r>
              <a:r>
                <a:rPr lang="id-ID" sz="1600" b="0" baseline="0"/>
                <a:t> naik:</a:t>
              </a:r>
            </a:p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𝑉_𝑠=𝑄/𝐴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𝑉_𝑠=4/1.7671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𝑉_𝑠=2.264 𝑚/ℎ</a:t>
              </a:r>
              <a:br>
                <a:rPr lang="id-ID" sz="1600" b="0"/>
              </a:br>
              <a:endParaRPr lang="en-US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</xdr:row>
      <xdr:rowOff>0</xdr:rowOff>
    </xdr:from>
    <xdr:to>
      <xdr:col>5</xdr:col>
      <xdr:colOff>922726</xdr:colOff>
      <xdr:row>30</xdr:row>
      <xdr:rowOff>157214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AC1C053-23BD-4066-816D-B14FD5E57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1" y="925286"/>
          <a:ext cx="5181600" cy="4903385"/>
        </a:xfrm>
        <a:prstGeom prst="rect">
          <a:avLst/>
        </a:prstGeom>
      </xdr:spPr>
    </xdr:pic>
    <xdr:clientData/>
  </xdr:twoCellAnchor>
  <xdr:oneCellAnchor>
    <xdr:from>
      <xdr:col>11</xdr:col>
      <xdr:colOff>216433</xdr:colOff>
      <xdr:row>7</xdr:row>
      <xdr:rowOff>115259</xdr:rowOff>
    </xdr:from>
    <xdr:ext cx="2147945" cy="38486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158CB81-4F68-4D36-AC0E-63B8DA57A17C}"/>
                </a:ext>
              </a:extLst>
            </xdr:cNvPr>
            <xdr:cNvSpPr txBox="1"/>
          </xdr:nvSpPr>
          <xdr:spPr>
            <a:xfrm>
              <a:off x="8968547" y="1508630"/>
              <a:ext cx="2147945" cy="3848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=4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id-ID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ℎ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𝑂𝑣𝑒𝑟𝑓𝑙𝑜𝑤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𝐼𝑛𝑙𝑒𝑡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𝑂𝑣𝑒𝑟𝑓𝑙𝑜𝑤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=4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id-ID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id-ID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ℎ</m:t>
                        </m:r>
                      </m:den>
                    </m:f>
                  </m:oMath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𝐿𝑢𝑎𝑠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𝑃𝑒𝑛𝑎𝑚𝑝𝑎𝑛𝑔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=1.7671 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br>
                <a:rPr lang="id-ID" sz="1600" b="0"/>
              </a:br>
              <a:br>
                <a:rPr lang="id-ID" sz="1600" b="0"/>
              </a:br>
              <a:r>
                <a:rPr lang="id-ID" sz="1600" b="0"/>
                <a:t>Kecepatan superficial</a:t>
              </a:r>
              <a:r>
                <a:rPr lang="id-ID" sz="1600" b="0" baseline="0"/>
                <a:t> naik: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1.7671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=2.264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ℎ</m:t>
                        </m:r>
                      </m:den>
                    </m:f>
                  </m:oMath>
                </m:oMathPara>
              </a14:m>
              <a:br>
                <a:rPr lang="id-ID" sz="1600" b="0"/>
              </a:br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158CB81-4F68-4D36-AC0E-63B8DA57A17C}"/>
                </a:ext>
              </a:extLst>
            </xdr:cNvPr>
            <xdr:cNvSpPr txBox="1"/>
          </xdr:nvSpPr>
          <xdr:spPr>
            <a:xfrm>
              <a:off x="8968547" y="1508630"/>
              <a:ext cx="2147945" cy="3848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𝑄=4 𝑚^3/ℎ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𝑄_𝑂𝑣𝑒𝑟𝑓𝑙𝑜𝑤=𝑄_𝐼𝑛𝑙𝑒𝑡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𝑄_𝑂𝑣𝑒𝑟𝑓𝑙𝑜𝑤=4 𝑚^3/ℎ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𝐿𝑢𝑎𝑠 𝑃𝑒𝑛𝑎𝑚𝑝𝑎𝑛𝑔=1.7671 𝑚^2</a:t>
              </a:r>
              <a:br>
                <a:rPr lang="id-ID" sz="1600" b="0"/>
              </a:br>
              <a:br>
                <a:rPr lang="id-ID" sz="1600" b="0"/>
              </a:br>
              <a:r>
                <a:rPr lang="id-ID" sz="1600" b="0"/>
                <a:t>Kecepatan superficial</a:t>
              </a:r>
              <a:r>
                <a:rPr lang="id-ID" sz="1600" b="0" baseline="0"/>
                <a:t> naik:</a:t>
              </a:r>
            </a:p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𝑉_𝑠=𝑄/𝐴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𝑉_𝑠=4/1.7671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𝑉_𝑠=2.264 𝑚/ℎ</a:t>
              </a:r>
              <a:br>
                <a:rPr lang="id-ID" sz="1600" b="0"/>
              </a:br>
              <a:endParaRPr lang="en-US" sz="1600"/>
            </a:p>
          </xdr:txBody>
        </xdr:sp>
      </mc:Fallback>
    </mc:AlternateContent>
    <xdr:clientData/>
  </xdr:oneCellAnchor>
  <xdr:oneCellAnchor>
    <xdr:from>
      <xdr:col>10</xdr:col>
      <xdr:colOff>119743</xdr:colOff>
      <xdr:row>25</xdr:row>
      <xdr:rowOff>125185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4C0D56-A20A-A10B-8668-410F4F25CA83}"/>
            </a:ext>
          </a:extLst>
        </xdr:cNvPr>
        <xdr:cNvSpPr txBox="1"/>
      </xdr:nvSpPr>
      <xdr:spPr>
        <a:xfrm>
          <a:off x="6215743" y="484958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10886</xdr:colOff>
      <xdr:row>48</xdr:row>
      <xdr:rowOff>81643</xdr:rowOff>
    </xdr:from>
    <xdr:ext cx="2621872" cy="53428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3465351-E5D9-AF19-9D2B-8D8340E59F21}"/>
                </a:ext>
              </a:extLst>
            </xdr:cNvPr>
            <xdr:cNvSpPr txBox="1"/>
          </xdr:nvSpPr>
          <xdr:spPr>
            <a:xfrm>
              <a:off x="1230086" y="8914981"/>
              <a:ext cx="2621872" cy="534287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b="1" i="1">
                  <a:latin typeface="Cambria Math" panose="02040503050406030204" pitchFamily="18" charset="0"/>
                </a:rPr>
                <a:t>Debit</a:t>
              </a:r>
            </a:p>
            <a:p>
              <a:pPr/>
              <a14:m>
                <m:oMathPara xmlns:m="http://schemas.openxmlformats.org/officeDocument/2006/math">
                  <m:oMath>
                    <m:r>
                      <a:rPr lang="id-ID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id-ID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3600</m:t>
                        </m:r>
                      </m:den>
                    </m:f>
                    <m:r>
                      <a:rPr lang="id-ID" sz="1100" b="0" i="1">
                        <a:latin typeface="Cambria Math" panose="02040503050406030204" pitchFamily="18" charset="0"/>
                      </a:rPr>
                      <m:t>=0.001111111 </m:t>
                    </m:r>
                    <m:sSup>
                      <m:sSup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id-ID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id-ID" sz="1100" b="0" i="1">
                        <a:latin typeface="Cambria Math" panose="02040503050406030204" pitchFamily="18" charset="0"/>
                      </a:rPr>
                      <m:t>𝑠</m:t>
                    </m:r>
                  </m:oMath>
                </m:oMathPara>
              </a14:m>
              <a:endParaRPr lang="id-ID" sz="1100"/>
            </a:p>
            <a:p>
              <a:endParaRPr lang="id-ID" sz="1100"/>
            </a:p>
            <a:p>
              <a:r>
                <a:rPr lang="id-ID" sz="1100" b="1"/>
                <a:t>Luas penampang</a:t>
              </a:r>
              <a:r>
                <a:rPr lang="id-ID" sz="1100" b="1" baseline="0"/>
                <a:t> Pipa: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sSubSup>
                          <m:sSubSupPr>
                            <m:ctrlPr>
                              <a:rPr lang="id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id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id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𝑝</m:t>
                            </m:r>
                          </m:sub>
                          <m:sup>
                            <m:r>
                              <a:rPr lang="id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  <m:oMath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𝐾𝑒𝑡𝑒𝑟𝑎𝑛𝑔𝑎𝑛</m:t>
                    </m:r>
                  </m:oMath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𝐿𝑢𝑎𝑠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𝑝𝑒𝑛𝑎𝑚𝑝𝑎𝑛𝑔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𝑖𝑛𝑡𝑒𝑟𝑛𝑎𝑙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𝑝𝑖𝑝𝑎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p>
                      <m:sSupPr>
                        <m:ctrlP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𝐷𝑖𝑎𝑚𝑒𝑡𝑒𝑟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𝑖𝑛𝑡𝑒𝑟𝑛𝑎𝑙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𝑝𝑖𝑝𝑎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r>
                      <a:rPr lang="id-ID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br>
                <a:rPr lang="id-ID" sz="1100"/>
              </a:br>
              <a:br>
                <a:rPr lang="id-ID" sz="1100"/>
              </a:br>
              <a:br>
                <a:rPr lang="id-ID" sz="1100"/>
              </a:br>
              <a:r>
                <a:rPr lang="id-ID" sz="1100" b="1"/>
                <a:t>Kecepatan cairan:</a:t>
              </a:r>
            </a:p>
            <a:p>
              <a:pPr/>
              <a14:m>
                <m:oMathPara xmlns:m="http://schemas.openxmlformats.org/officeDocument/2006/math">
                  <m:oMath>
                    <m:r>
                      <a:rPr lang="id-ID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id-ID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sSub>
                          <m:sSubPr>
                            <m:ctrlPr>
                              <a:rPr lang="id-ID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id-ID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  <m:r>
                      <a:rPr lang="id-ID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sSubSup>
                          <m:sSub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id-ID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id-ID" sz="1100"/>
            </a:p>
            <a:p>
              <a:r>
                <a:rPr lang="id-ID" sz="1100" b="1"/>
                <a:t>Friction</a:t>
              </a:r>
              <a:r>
                <a:rPr lang="id-ID" sz="1100" b="1" baseline="0"/>
                <a:t> head</a:t>
              </a:r>
            </a:p>
            <a:p>
              <a:r>
                <a:rPr lang="id-ID" sz="1100" baseline="0"/>
                <a:t>Persamaan Darcy-Weisbach: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id-ID" sz="1100" i="1" baseline="0">
                        <a:latin typeface="Cambria Math" panose="02040503050406030204" pitchFamily="18" charset="0"/>
                      </a:rPr>
                      <m:t>=</m:t>
                    </m:r>
                    <m:r>
                      <a:rPr lang="id-ID" sz="1100" i="1" baseline="0">
                        <a:latin typeface="Cambria Math" panose="02040503050406030204" pitchFamily="18" charset="0"/>
                      </a:rPr>
                      <m:t>𝑓</m:t>
                    </m:r>
                    <m:f>
                      <m:fPr>
                        <m:ctrlPr>
                          <a:rPr lang="id-ID" sz="1100" i="1" baseline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sSub>
                          <m:sSubPr>
                            <m:ctrlPr>
                              <a:rPr lang="id-ID" sz="1100" i="1" baseline="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 baseline="0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id-ID" sz="1100" i="1" baseline="0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  <m:f>
                      <m:fPr>
                        <m:ctrlPr>
                          <a:rPr lang="id-ID" sz="1100" i="1" baseline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id-ID" sz="1100" i="1" baseline="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100" i="1" baseline="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p>
                            <m:r>
                              <a:rPr lang="id-ID" sz="1100" i="1" baseline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id-ID" sz="1100" baseline="0"/>
            </a:p>
            <a:p>
              <a:r>
                <a:rPr lang="id-ID" sz="1100" b="1" baseline="0"/>
                <a:t>Minor Losses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id-ID" sz="1100" i="1" baseline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id-ID" sz="1100" i="1" baseline="0">
                        <a:latin typeface="Cambria Math" panose="02040503050406030204" pitchFamily="18" charset="0"/>
                      </a:rPr>
                      <m:t>Σ</m:t>
                    </m:r>
                    <m:r>
                      <a:rPr lang="id-ID" sz="1100" i="1" baseline="0">
                        <a:latin typeface="Cambria Math" panose="02040503050406030204" pitchFamily="18" charset="0"/>
                      </a:rPr>
                      <m:t>𝐾</m:t>
                    </m:r>
                    <m:f>
                      <m:fPr>
                        <m:ctrlPr>
                          <a:rPr lang="id-ID" sz="1100" i="1" baseline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id-ID" sz="1100" i="1" baseline="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100" i="1" baseline="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p>
                            <m:r>
                              <a:rPr lang="id-ID" sz="1100" i="1" baseline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id-ID" sz="1100" i="1" baseline="0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id-ID" sz="1100" baseline="0"/>
            </a:p>
            <a:p>
              <a:endParaRPr lang="id-ID" sz="1100" baseline="0"/>
            </a:p>
            <a:p>
              <a:r>
                <a:rPr lang="id-ID" sz="1100" b="1" baseline="0"/>
                <a:t>Total Hydraulic Loss: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 baseline="0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id-ID" sz="1100" b="0" i="1" baseline="0">
                            <a:latin typeface="Cambria Math" panose="02040503050406030204" pitchFamily="18" charset="0"/>
                          </a:rPr>
                          <m:t>𝐿</m:t>
                        </m:r>
                      </m:sub>
                    </m:sSub>
                    <m:r>
                      <a:rPr lang="id-ID" sz="1100" b="0" i="1" baseline="0">
                        <a:latin typeface="Cambria Math" panose="02040503050406030204" pitchFamily="18" charset="0"/>
                      </a:rPr>
                      <m:t>= </m:t>
                    </m:r>
                    <m:d>
                      <m:dPr>
                        <m:ctrlPr>
                          <a:rPr lang="id-ID" sz="1100" b="0" i="1" baseline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d-ID" sz="1100" b="0" i="1" baseline="0">
                            <a:latin typeface="Cambria Math" panose="02040503050406030204" pitchFamily="18" charset="0"/>
                          </a:rPr>
                          <m:t>𝑓</m:t>
                        </m:r>
                        <m:f>
                          <m:fPr>
                            <m:ctrlPr>
                              <a:rPr lang="id-ID" sz="1100" b="0" i="1" baseline="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id-ID" sz="1100" b="0" i="1" baseline="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num>
                          <m:den>
                            <m:sSub>
                              <m:sSubPr>
                                <m:ctrlPr>
                                  <a:rPr lang="id-ID" sz="11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d-ID" sz="1100" b="0" i="1" baseline="0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id-ID" sz="1100" b="0" i="1" baseline="0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  <m:r>
                                  <a:rPr lang="id-ID" sz="1100" b="0" i="1" baseline="0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</m:sub>
                            </m:sSub>
                          </m:den>
                        </m:f>
                        <m:r>
                          <a:rPr lang="id-ID" sz="1100" b="0" i="1" baseline="0">
                            <a:latin typeface="Cambria Math" panose="02040503050406030204" pitchFamily="18" charset="0"/>
                          </a:rPr>
                          <m:t>+ 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id-ID" sz="1100" b="0" i="1" baseline="0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id-ID" sz="1100" b="0" i="1" baseline="0">
                                <a:latin typeface="Cambria Math" panose="02040503050406030204" pitchFamily="18" charset="0"/>
                              </a:rPr>
                              <m:t>𝐾</m:t>
                            </m:r>
                          </m:e>
                        </m:nary>
                      </m:e>
                    </m:d>
                    <m:sSup>
                      <m:sSupPr>
                        <m:ctrlPr>
                          <a:rPr lang="id-ID" sz="1100" b="0" i="1" baseline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id-ID" sz="11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id-ID" sz="1100" b="0" i="1" baseline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id-ID" sz="1100" b="0" i="1" baseline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id-ID" sz="1100" b="0" i="1" baseline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p>
                                    <m:r>
                                      <a:rPr lang="id-ID" sz="1100" b="0" i="1" baseline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id-ID" sz="1100" b="0" i="1" baseline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id-ID" sz="1100" b="0" i="1" baseline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𝑔</m:t>
                                </m:r>
                              </m:den>
                            </m:f>
                          </m:e>
                        </m:d>
                      </m:e>
                      <m:sup/>
                    </m:sSup>
                    <m:r>
                      <a:rPr lang="en-US" sz="1100" b="0" i="1" baseline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id-ID" sz="1100" baseline="0"/>
            </a:p>
            <a:p>
              <a:endParaRPr lang="id-ID" sz="1100" baseline="0"/>
            </a:p>
            <a:p>
              <a:endParaRPr lang="id-ID" sz="1100" baseline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3465351-E5D9-AF19-9D2B-8D8340E59F21}"/>
                </a:ext>
              </a:extLst>
            </xdr:cNvPr>
            <xdr:cNvSpPr txBox="1"/>
          </xdr:nvSpPr>
          <xdr:spPr>
            <a:xfrm>
              <a:off x="1230086" y="8914981"/>
              <a:ext cx="2621872" cy="534287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b="1" i="1">
                  <a:latin typeface="Cambria Math" panose="02040503050406030204" pitchFamily="18" charset="0"/>
                </a:rPr>
                <a:t>Debit</a:t>
              </a:r>
            </a:p>
            <a:p>
              <a:r>
                <a:rPr lang="id-ID" sz="1100" b="0" i="0">
                  <a:latin typeface="Cambria Math" panose="02040503050406030204" pitchFamily="18" charset="0"/>
                </a:rPr>
                <a:t>𝑄=4/3600=0.001111111 𝑚^3/𝑠</a:t>
              </a:r>
              <a:endParaRPr lang="id-ID" sz="1100"/>
            </a:p>
            <a:p>
              <a:endParaRPr lang="id-ID" sz="1100"/>
            </a:p>
            <a:p>
              <a:r>
                <a:rPr lang="id-ID" sz="1100" b="1"/>
                <a:t>Luas penampang</a:t>
              </a:r>
              <a:r>
                <a:rPr lang="id-ID" sz="1100" b="1" baseline="0"/>
                <a:t> Pipa:</a:t>
              </a:r>
            </a:p>
            <a:p>
              <a:r>
                <a:rPr lang="id-ID" sz="1100" b="0" i="0">
                  <a:latin typeface="Cambria Math" panose="02040503050406030204" pitchFamily="18" charset="0"/>
                </a:rPr>
                <a:t>𝐴_𝑝=</a:t>
              </a:r>
              <a:r>
                <a:rPr lang="id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(𝜋𝐷_𝑝^2)/4</a:t>
              </a:r>
              <a:br>
                <a:rPr lang="id-ID" sz="1100" b="0">
                  <a:ea typeface="Cambria Math" panose="02040503050406030204" pitchFamily="18" charset="0"/>
                </a:rPr>
              </a:br>
              <a:r>
                <a:rPr lang="id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𝐾𝑒𝑡𝑒𝑟𝑎𝑛𝑔𝑎𝑛</a:t>
              </a:r>
              <a:br>
                <a:rPr lang="id-ID" sz="1100" b="0">
                  <a:ea typeface="Cambria Math" panose="02040503050406030204" pitchFamily="18" charset="0"/>
                </a:rPr>
              </a:br>
              <a:r>
                <a:rPr lang="id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𝐴_𝑝=𝐿𝑢𝑎𝑠 𝑝𝑒𝑛𝑎𝑚𝑝𝑎𝑛𝑔 𝑖𝑛𝑡𝑒𝑟𝑛𝑎𝑙 𝑝𝑖𝑝𝑎, 𝑚^2</a:t>
              </a:r>
              <a:br>
                <a:rPr lang="id-ID" sz="1100" b="0">
                  <a:ea typeface="Cambria Math" panose="02040503050406030204" pitchFamily="18" charset="0"/>
                </a:rPr>
              </a:br>
              <a:r>
                <a:rPr lang="id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𝐷_𝑃=𝐷𝑖𝑎𝑚𝑒𝑡𝑒𝑟 𝑖𝑛𝑡𝑒𝑟𝑛𝑎𝑙 𝑝𝑖𝑝𝑎, 𝑚</a:t>
              </a:r>
              <a:br>
                <a:rPr lang="id-ID" sz="1100"/>
              </a:br>
              <a:br>
                <a:rPr lang="id-ID" sz="1100"/>
              </a:br>
              <a:br>
                <a:rPr lang="id-ID" sz="1100"/>
              </a:br>
              <a:r>
                <a:rPr lang="id-ID" sz="1100" b="1"/>
                <a:t>Kecepatan cairan:</a:t>
              </a:r>
            </a:p>
            <a:p>
              <a:r>
                <a:rPr lang="id-ID" sz="1100" b="0" i="0">
                  <a:latin typeface="Cambria Math" panose="02040503050406030204" pitchFamily="18" charset="0"/>
                </a:rPr>
                <a:t>𝑣=𝑄/𝐴_𝑝 =4𝑄/(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𝜋𝐷_𝑝^2</a:t>
              </a:r>
              <a:r>
                <a:rPr lang="id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id-ID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id-ID" sz="1100"/>
            </a:p>
            <a:p>
              <a:r>
                <a:rPr lang="id-ID" sz="1100" b="1"/>
                <a:t>Friction</a:t>
              </a:r>
              <a:r>
                <a:rPr lang="id-ID" sz="1100" b="1" baseline="0"/>
                <a:t> head</a:t>
              </a:r>
            </a:p>
            <a:p>
              <a:r>
                <a:rPr lang="id-ID" sz="1100" baseline="0"/>
                <a:t>Persamaan Darcy-Weisbach:</a:t>
              </a:r>
            </a:p>
            <a:p>
              <a:r>
                <a:rPr lang="id-ID" sz="1100" i="0" baseline="0">
                  <a:latin typeface="Cambria Math" panose="02040503050406030204" pitchFamily="18" charset="0"/>
                </a:rPr>
                <a:t>ℎ_𝑓=𝑓 𝐿/𝐷_𝑝   𝑣^2/2𝑔</a:t>
              </a:r>
              <a:endParaRPr lang="id-ID" sz="1100" baseline="0"/>
            </a:p>
            <a:p>
              <a:r>
                <a:rPr lang="id-ID" sz="1100" b="1" baseline="0"/>
                <a:t>Minor Losses</a:t>
              </a:r>
            </a:p>
            <a:p>
              <a:r>
                <a:rPr lang="id-ID" sz="1100" i="0" baseline="0">
                  <a:latin typeface="Cambria Math" panose="02040503050406030204" pitchFamily="18" charset="0"/>
                </a:rPr>
                <a:t>ℎ_𝑚=Σ𝐾 𝑣^2/2𝑔</a:t>
              </a:r>
              <a:endParaRPr lang="id-ID" sz="1100" baseline="0"/>
            </a:p>
            <a:p>
              <a:endParaRPr lang="id-ID" sz="1100" baseline="0"/>
            </a:p>
            <a:p>
              <a:r>
                <a:rPr lang="id-ID" sz="1100" b="1" baseline="0"/>
                <a:t>Total Hydraulic Loss:</a:t>
              </a:r>
            </a:p>
            <a:p>
              <a:r>
                <a:rPr lang="id-ID" sz="1100" b="0" i="0" baseline="0">
                  <a:latin typeface="Cambria Math" panose="02040503050406030204" pitchFamily="18" charset="0"/>
                </a:rPr>
                <a:t>ℎ_𝐿= (𝑓 𝐿/𝐷_(𝑝 ) + ∑▒𝐾)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:r>
                <a:rPr lang="id-ID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𝑣^2/2𝑔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  </a:t>
              </a:r>
              <a:endParaRPr lang="id-ID" sz="1100" baseline="0"/>
            </a:p>
            <a:p>
              <a:endParaRPr lang="id-ID" sz="1100" baseline="0"/>
            </a:p>
            <a:p>
              <a:endParaRPr lang="id-ID" sz="1100" baseline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62346</xdr:colOff>
      <xdr:row>46</xdr:row>
      <xdr:rowOff>180108</xdr:rowOff>
    </xdr:from>
    <xdr:ext cx="2503249" cy="4594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086DA14-A29B-D077-9331-8DE4F32A0C01}"/>
                </a:ext>
              </a:extLst>
            </xdr:cNvPr>
            <xdr:cNvSpPr txBox="1"/>
          </xdr:nvSpPr>
          <xdr:spPr>
            <a:xfrm>
              <a:off x="9635837" y="8631381"/>
              <a:ext cx="2503249" cy="459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sSub>
                          <m:sSubPr>
                            <m:ctrlP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sub>
                        </m:sSub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12</m:t>
                        </m:r>
                      </m:den>
                    </m:f>
                    <m:r>
                      <a:rPr lang="id-ID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sSubSup>
                      <m:sSubSup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id-ID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id-ID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086DA14-A29B-D077-9331-8DE4F32A0C01}"/>
                </a:ext>
              </a:extLst>
            </xdr:cNvPr>
            <xdr:cNvSpPr txBox="1"/>
          </xdr:nvSpPr>
          <xdr:spPr>
            <a:xfrm>
              <a:off x="9635837" y="8631381"/>
              <a:ext cx="2503249" cy="459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𝑉_𝑘=</a:t>
              </a:r>
              <a:r>
                <a:rPr lang="id-ID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(𝜋𝐻_𝑘)/12(𝐷_1^2+𝐷_1 𝐷_2+𝐷_2^2)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11</xdr:col>
      <xdr:colOff>62346</xdr:colOff>
      <xdr:row>49</xdr:row>
      <xdr:rowOff>96983</xdr:rowOff>
    </xdr:from>
    <xdr:ext cx="3886199" cy="13854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92FCD50-B3B1-4BFF-98AA-7D482A5F3BC7}"/>
                </a:ext>
              </a:extLst>
            </xdr:cNvPr>
            <xdr:cNvSpPr txBox="1"/>
          </xdr:nvSpPr>
          <xdr:spPr>
            <a:xfrm>
              <a:off x="9635837" y="9185565"/>
              <a:ext cx="3886199" cy="13854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d>
                          <m:dPr>
                            <m:ctrlP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0.60</m:t>
                            </m:r>
                          </m:e>
                        </m:d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12</m:t>
                        </m:r>
                      </m:den>
                    </m:f>
                    <m:d>
                      <m:dPr>
                        <m:ctrlP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1.50</m:t>
                            </m:r>
                          </m:e>
                          <m:sub/>
                          <m:sup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+1.50</m:t>
                        </m:r>
                        <m:d>
                          <m:dPr>
                            <m:ctrlP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0.15</m:t>
                            </m:r>
                          </m:e>
                        </m:d>
                        <m:r>
                          <a:rPr lang="id-ID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0.15</m:t>
                            </m:r>
                          </m:e>
                          <m:sub/>
                          <m:sup>
                            <m:r>
                              <a:rPr lang="id-ID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id-ID" sz="1600" b="0">
                <a:ea typeface="Cambria Math" panose="02040503050406030204" pitchFamily="18" charset="0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=0.1570796(2.25+0.225+0.0225)</m:t>
                    </m:r>
                  </m:oMath>
                </m:oMathPara>
              </a14:m>
              <a:endParaRPr lang="id-ID" sz="1600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=0.392306 </m:t>
                    </m:r>
                    <m:sSup>
                      <m:sSup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id-ID" sz="1600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=392.31 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𝐿</m:t>
                    </m:r>
                  </m:oMath>
                </m:oMathPara>
              </a14:m>
              <a:endParaRPr lang="en-US" sz="1600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1600">
                <a:effectLst/>
              </a:endParaRPr>
            </a:p>
            <a:p>
              <a:pPr algn="l"/>
              <a:endParaRPr lang="en-US" sz="16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92FCD50-B3B1-4BFF-98AA-7D482A5F3BC7}"/>
                </a:ext>
              </a:extLst>
            </xdr:cNvPr>
            <xdr:cNvSpPr txBox="1"/>
          </xdr:nvSpPr>
          <xdr:spPr>
            <a:xfrm>
              <a:off x="9635837" y="9185565"/>
              <a:ext cx="3886199" cy="13854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id-ID" sz="1600" b="0" i="0">
                  <a:latin typeface="Cambria Math" panose="02040503050406030204" pitchFamily="18" charset="0"/>
                </a:rPr>
                <a:t>𝑉_𝑘=</a:t>
              </a:r>
              <a:r>
                <a:rPr lang="id-ID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𝜋(0.60)/12 (〖1.50〗_^2+1.50(0.15)+〖0.15〗_^2 )</a:t>
              </a:r>
              <a:endParaRPr lang="id-ID" sz="1600" b="0">
                <a:ea typeface="Cambria Math" panose="02040503050406030204" pitchFamily="18" charset="0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𝑉_𝑘=0.1570796(2.25+0.225+0.0225)</a:t>
              </a:r>
              <a:endParaRPr lang="id-ID" sz="1600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𝑉_𝑘=0.392306 𝑚^3</a:t>
              </a:r>
              <a:endParaRPr lang="id-ID" sz="1600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𝑉_𝑘=392.31 𝐿</a:t>
              </a:r>
              <a:endParaRPr lang="en-US" sz="1600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1600">
                <a:effectLst/>
              </a:endParaRPr>
            </a:p>
            <a:p>
              <a:pPr algn="l"/>
              <a:endParaRPr lang="en-US" sz="1600"/>
            </a:p>
          </xdr:txBody>
        </xdr:sp>
      </mc:Fallback>
    </mc:AlternateContent>
    <xdr:clientData/>
  </xdr:oneCellAnchor>
  <xdr:oneCellAnchor>
    <xdr:from>
      <xdr:col>10</xdr:col>
      <xdr:colOff>602674</xdr:colOff>
      <xdr:row>55</xdr:row>
      <xdr:rowOff>124691</xdr:rowOff>
    </xdr:from>
    <xdr:ext cx="65" cy="37568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368EFA-2982-4058-927D-6E5484C527EA}"/>
            </a:ext>
          </a:extLst>
        </xdr:cNvPr>
        <xdr:cNvSpPr txBox="1"/>
      </xdr:nvSpPr>
      <xdr:spPr>
        <a:xfrm>
          <a:off x="9566565" y="10307782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602674</xdr:colOff>
      <xdr:row>59</xdr:row>
      <xdr:rowOff>69273</xdr:rowOff>
    </xdr:from>
    <xdr:ext cx="65" cy="37568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7E78556-0A8C-4347-8C67-4C0BF132FE8B}"/>
            </a:ext>
          </a:extLst>
        </xdr:cNvPr>
        <xdr:cNvSpPr txBox="1"/>
      </xdr:nvSpPr>
      <xdr:spPr>
        <a:xfrm>
          <a:off x="9566565" y="10972800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34638</xdr:colOff>
      <xdr:row>62</xdr:row>
      <xdr:rowOff>96983</xdr:rowOff>
    </xdr:from>
    <xdr:ext cx="65" cy="3756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AF5B97-29BC-4345-AF51-1FA50AE0C35E}"/>
            </a:ext>
          </a:extLst>
        </xdr:cNvPr>
        <xdr:cNvSpPr txBox="1"/>
      </xdr:nvSpPr>
      <xdr:spPr>
        <a:xfrm>
          <a:off x="9608129" y="11540838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20781</xdr:colOff>
      <xdr:row>63</xdr:row>
      <xdr:rowOff>55418</xdr:rowOff>
    </xdr:from>
    <xdr:ext cx="1967077" cy="4626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F82D882-E4A7-A9DD-8BB7-85819D00445C}"/>
                </a:ext>
              </a:extLst>
            </xdr:cNvPr>
            <xdr:cNvSpPr txBox="1"/>
          </xdr:nvSpPr>
          <xdr:spPr>
            <a:xfrm>
              <a:off x="9594272" y="11707091"/>
              <a:ext cx="1967077" cy="4626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1000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500</m:t>
                        </m:r>
                      </m:den>
                    </m:f>
                    <m:r>
                      <a:rPr lang="id-ID" sz="1600" b="0" i="1">
                        <a:latin typeface="Cambria Math" panose="02040503050406030204" pitchFamily="18" charset="0"/>
                      </a:rPr>
                      <m:t>=2000 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F82D882-E4A7-A9DD-8BB7-85819D00445C}"/>
                </a:ext>
              </a:extLst>
            </xdr:cNvPr>
            <xdr:cNvSpPr txBox="1"/>
          </xdr:nvSpPr>
          <xdr:spPr>
            <a:xfrm>
              <a:off x="9594272" y="11707091"/>
              <a:ext cx="1967077" cy="4626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𝑉_𝑐=1000/500=2000 𝑚^3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11</xdr:col>
      <xdr:colOff>48490</xdr:colOff>
      <xdr:row>68</xdr:row>
      <xdr:rowOff>83128</xdr:rowOff>
    </xdr:from>
    <xdr:ext cx="3300519" cy="9477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4874A02-DBE4-36D8-A96D-BB2300AA5D94}"/>
                </a:ext>
              </a:extLst>
            </xdr:cNvPr>
            <xdr:cNvSpPr txBox="1"/>
          </xdr:nvSpPr>
          <xdr:spPr>
            <a:xfrm>
              <a:off x="9621981" y="12635346"/>
              <a:ext cx="3300519" cy="947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2000" b="0" i="1">
                            <a:latin typeface="Cambria Math" panose="02040503050406030204" pitchFamily="18" charset="0"/>
                          </a:rPr>
                          <m:t>𝑐𝑐𝑖𝑙𝑖𝑛𝑑𝑒𝑟</m:t>
                        </m:r>
                      </m:sub>
                    </m:sSub>
                    <m:r>
                      <a:rPr lang="id-ID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20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20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en-US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𝑐𝑐𝑖𝑙𝑖𝑛𝑑𝑒𝑟</m:t>
                        </m:r>
                      </m:sub>
                    </m:sSub>
                    <m:r>
                      <a:rPr lang="id-ID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=2,000 −0.392306</m:t>
                    </m:r>
                  </m:oMath>
                  <m:oMath>
                    <m:sSub>
                      <m:sSubPr>
                        <m:ctrlPr>
                          <a:rPr lang="id-ID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id-ID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𝑐𝑖𝑙𝑖𝑛𝑑𝑒𝑟</m:t>
                        </m:r>
                      </m:sub>
                    </m:sSub>
                    <m:r>
                      <a:rPr lang="id-ID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=1,607694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4874A02-DBE4-36D8-A96D-BB2300AA5D94}"/>
                </a:ext>
              </a:extLst>
            </xdr:cNvPr>
            <xdr:cNvSpPr txBox="1"/>
          </xdr:nvSpPr>
          <xdr:spPr>
            <a:xfrm>
              <a:off x="9621981" y="12635346"/>
              <a:ext cx="3300519" cy="947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2000" b="0" i="0">
                  <a:latin typeface="Cambria Math" panose="02040503050406030204" pitchFamily="18" charset="0"/>
                </a:rPr>
                <a:t>𝑉_𝑐𝑐𝑖𝑙𝑖𝑛𝑑𝑒𝑟=𝑉_𝑐−𝑉_𝑘</a:t>
              </a:r>
              <a:br>
                <a:rPr lang="id-ID" sz="2000" b="0"/>
              </a:br>
              <a:r>
                <a:rPr lang="en-US" sz="2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𝑉_𝑐𝑐𝑖𝑙𝑖𝑛𝑑𝑒𝑟</a:t>
              </a:r>
              <a:r>
                <a:rPr lang="id-ID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=2,000 −0.392306</a:t>
              </a:r>
              <a:br>
                <a:rPr lang="id-ID" sz="20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</a:br>
              <a:r>
                <a:rPr lang="id-ID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𝑉_𝑐𝑖𝑙𝑖𝑛𝑑𝑒𝑟=1,607694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11</xdr:col>
      <xdr:colOff>48491</xdr:colOff>
      <xdr:row>76</xdr:row>
      <xdr:rowOff>83127</xdr:rowOff>
    </xdr:from>
    <xdr:ext cx="1797223" cy="11222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585419E-D7DB-A759-B583-A17E9ED379C7}"/>
                </a:ext>
              </a:extLst>
            </xdr:cNvPr>
            <xdr:cNvSpPr txBox="1"/>
          </xdr:nvSpPr>
          <xdr:spPr>
            <a:xfrm>
              <a:off x="9621982" y="14076218"/>
              <a:ext cx="1797223" cy="11222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id-ID" sz="18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id-ID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sSup>
                          <m:sSupPr>
                            <m:ctrlPr>
                              <a:rPr lang="id-ID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id-ID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id-ID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1.50</m:t>
                                </m:r>
                              </m:e>
                            </m:d>
                          </m:e>
                          <m:sup>
                            <m:r>
                              <a:rPr lang="id-ID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  <m:oMath>
                    <m:r>
                      <a:rPr lang="id-ID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</m:t>
                    </m:r>
                    <m:r>
                      <a:rPr lang="id-ID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=1.767146 </m:t>
                    </m:r>
                    <m:sSup>
                      <m:sSupPr>
                        <m:ctrlP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  <m:oMath>
                    <m:r>
                      <a:rPr lang="id-ID" sz="18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585419E-D7DB-A759-B583-A17E9ED379C7}"/>
                </a:ext>
              </a:extLst>
            </xdr:cNvPr>
            <xdr:cNvSpPr txBox="1"/>
          </xdr:nvSpPr>
          <xdr:spPr>
            <a:xfrm>
              <a:off x="9621982" y="14076218"/>
              <a:ext cx="1797223" cy="11222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id-ID" sz="1800" b="0" i="0">
                  <a:latin typeface="Cambria Math" panose="02040503050406030204" pitchFamily="18" charset="0"/>
                </a:rPr>
                <a:t>𝐴=</a:t>
              </a:r>
              <a:r>
                <a:rPr lang="id-ID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(𝜋(1.50)^2)/4</a:t>
              </a:r>
              <a:br>
                <a:rPr lang="id-ID" sz="1800" b="0" i="1">
                  <a:latin typeface="Cambria Math" panose="02040503050406030204" pitchFamily="18" charset="0"/>
                  <a:ea typeface="Cambria Math" panose="02040503050406030204" pitchFamily="18" charset="0"/>
                </a:rPr>
              </a:br>
              <a:r>
                <a:rPr lang="id-ID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𝐴=1.767146 𝑚^2</a:t>
              </a:r>
              <a:br>
                <a:rPr lang="id-ID" sz="1800" b="0" i="1">
                  <a:latin typeface="Cambria Math" panose="02040503050406030204" pitchFamily="18" charset="0"/>
                  <a:ea typeface="Cambria Math" panose="02040503050406030204" pitchFamily="18" charset="0"/>
                </a:rPr>
              </a:br>
              <a:r>
                <a:rPr lang="id-ID" sz="1800" b="0" i="0">
                  <a:latin typeface="Cambria Math" panose="02040503050406030204" pitchFamily="18" charset="0"/>
                </a:rPr>
                <a:t> 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11</xdr:col>
      <xdr:colOff>62344</xdr:colOff>
      <xdr:row>84</xdr:row>
      <xdr:rowOff>83126</xdr:rowOff>
    </xdr:from>
    <xdr:ext cx="2124556" cy="7154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A640A05-42A8-9B47-6354-B41BA4A4A059}"/>
                </a:ext>
              </a:extLst>
            </xdr:cNvPr>
            <xdr:cNvSpPr txBox="1"/>
          </xdr:nvSpPr>
          <xdr:spPr>
            <a:xfrm>
              <a:off x="9635835" y="15517090"/>
              <a:ext cx="2124556" cy="7154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𝑐𝑐𝑖𝑙𝑖𝑛𝑑𝑒𝑟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1.607694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1.767146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𝑐𝑐𝑖𝑙𝑛𝑑𝑒𝑟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=0.909768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A640A05-42A8-9B47-6354-B41BA4A4A059}"/>
                </a:ext>
              </a:extLst>
            </xdr:cNvPr>
            <xdr:cNvSpPr txBox="1"/>
          </xdr:nvSpPr>
          <xdr:spPr>
            <a:xfrm>
              <a:off x="9635835" y="15517090"/>
              <a:ext cx="2124556" cy="7154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𝐻_𝑐𝑐𝑖𝑙𝑖𝑛𝑑𝑒𝑟=1.607694/1.767146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𝐻_𝑐𝑐𝑖𝑙𝑛𝑑𝑒𝑟=0.909768 𝑚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11</xdr:col>
      <xdr:colOff>48490</xdr:colOff>
      <xdr:row>90</xdr:row>
      <xdr:rowOff>110837</xdr:rowOff>
    </xdr:from>
    <xdr:ext cx="2477345" cy="886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EE74781-3172-4C62-8D65-D1301F1F2F14}"/>
                </a:ext>
              </a:extLst>
            </xdr:cNvPr>
            <xdr:cNvSpPr txBox="1"/>
          </xdr:nvSpPr>
          <xdr:spPr>
            <a:xfrm>
              <a:off x="9621981" y="16625455"/>
              <a:ext cx="2477345" cy="886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𝑐𝑡𝑜𝑡𝑎𝑙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𝑐𝑐𝑖𝑙𝑖𝑛𝑑𝑒𝑟</m:t>
                        </m:r>
                      </m:sub>
                    </m:sSub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𝑐𝑡𝑜𝑡𝑎𝑙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=0.600+0.909768</m:t>
                    </m:r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𝐶𝑡𝑜𝑡𝑎𝑙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=1.509768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EE74781-3172-4C62-8D65-D1301F1F2F14}"/>
                </a:ext>
              </a:extLst>
            </xdr:cNvPr>
            <xdr:cNvSpPr txBox="1"/>
          </xdr:nvSpPr>
          <xdr:spPr>
            <a:xfrm>
              <a:off x="9621981" y="16625455"/>
              <a:ext cx="2477345" cy="886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d-ID" sz="1600" b="0" i="0">
                  <a:latin typeface="Cambria Math" panose="02040503050406030204" pitchFamily="18" charset="0"/>
                </a:rPr>
                <a:t>𝐻_𝑐𝑡𝑜𝑡𝑎𝑙=𝐻_𝑘+𝐻_𝑐𝑐𝑖𝑙𝑖𝑛𝑑𝑒𝑟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𝐻_𝑐𝑡𝑜𝑡𝑎𝑙=0.600+0.909768</a:t>
              </a:r>
              <a:br>
                <a:rPr lang="id-ID" sz="1600" b="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𝐻_𝐶𝑡𝑜𝑡𝑎𝑙=1.509768 𝑚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16</xdr:col>
      <xdr:colOff>34636</xdr:colOff>
      <xdr:row>63</xdr:row>
      <xdr:rowOff>69273</xdr:rowOff>
    </xdr:from>
    <xdr:ext cx="2126864" cy="10483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8A47250-48DF-442D-97C3-904514504D41}"/>
                </a:ext>
              </a:extLst>
            </xdr:cNvPr>
            <xdr:cNvSpPr txBox="1"/>
          </xdr:nvSpPr>
          <xdr:spPr>
            <a:xfrm>
              <a:off x="14235545" y="11734800"/>
              <a:ext cx="2126864" cy="1048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id-ID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1.50</m:t>
                        </m:r>
                      </m:num>
                      <m:den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id-ID" sz="1800" b="0" i="1">
                        <a:latin typeface="Cambria Math" panose="02040503050406030204" pitchFamily="18" charset="0"/>
                      </a:rPr>
                      <m:t>=0.750 </m:t>
                    </m:r>
                    <m:r>
                      <a:rPr lang="id-ID" sz="1800" b="0" i="1">
                        <a:latin typeface="Cambria Math" panose="02040503050406030204" pitchFamily="18" charset="0"/>
                      </a:rPr>
                      <m:t>𝑚</m:t>
                    </m:r>
                  </m:oMath>
                  <m:oMath>
                    <m:sSub>
                      <m:sSubPr>
                        <m:ctrlPr>
                          <a:rPr lang="id-ID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id-ID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0.15</m:t>
                        </m:r>
                      </m:num>
                      <m:den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id-ID" sz="1800" b="0" i="1">
                        <a:latin typeface="Cambria Math" panose="02040503050406030204" pitchFamily="18" charset="0"/>
                      </a:rPr>
                      <m:t>=0.075 </m:t>
                    </m:r>
                    <m:r>
                      <a:rPr lang="id-ID" sz="1800" b="0" i="1">
                        <a:latin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8A47250-48DF-442D-97C3-904514504D41}"/>
                </a:ext>
              </a:extLst>
            </xdr:cNvPr>
            <xdr:cNvSpPr txBox="1"/>
          </xdr:nvSpPr>
          <xdr:spPr>
            <a:xfrm>
              <a:off x="14235545" y="11734800"/>
              <a:ext cx="2126864" cy="1048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800" b="0" i="0">
                  <a:latin typeface="Cambria Math" panose="02040503050406030204" pitchFamily="18" charset="0"/>
                </a:rPr>
                <a:t>𝑅_1=1.50/2=0.750 𝑚</a:t>
              </a:r>
              <a:br>
                <a:rPr lang="id-ID" sz="1800" b="0"/>
              </a:br>
              <a:r>
                <a:rPr lang="id-ID" sz="1800" b="0" i="0">
                  <a:latin typeface="Cambria Math" panose="02040503050406030204" pitchFamily="18" charset="0"/>
                </a:rPr>
                <a:t>𝑅_2=0.15/2=0.075 𝑚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16</xdr:col>
      <xdr:colOff>6928</xdr:colOff>
      <xdr:row>71</xdr:row>
      <xdr:rowOff>124690</xdr:rowOff>
    </xdr:from>
    <xdr:ext cx="2264402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96C7449-EE3B-B382-991F-8245FF81A1D4}"/>
                </a:ext>
              </a:extLst>
            </xdr:cNvPr>
            <xdr:cNvSpPr txBox="1"/>
          </xdr:nvSpPr>
          <xdr:spPr>
            <a:xfrm>
              <a:off x="14207837" y="13231090"/>
              <a:ext cx="2264402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id-ID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r>
                      <a:rPr lang="id-ID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id-ID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id-ID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id-ID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=0.675</m:t>
                    </m:r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96C7449-EE3B-B382-991F-8245FF81A1D4}"/>
                </a:ext>
              </a:extLst>
            </xdr:cNvPr>
            <xdr:cNvSpPr txBox="1"/>
          </xdr:nvSpPr>
          <xdr:spPr>
            <a:xfrm>
              <a:off x="14207837" y="13231090"/>
              <a:ext cx="2264402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id-ID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𝑅=𝑅_1−𝑅_2=0.675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16</xdr:col>
      <xdr:colOff>6927</xdr:colOff>
      <xdr:row>76</xdr:row>
      <xdr:rowOff>69273</xdr:rowOff>
    </xdr:from>
    <xdr:ext cx="1800108" cy="13592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416D2FE-7E26-4F94-BB3C-53A6890EA20B}"/>
                </a:ext>
              </a:extLst>
            </xdr:cNvPr>
            <xdr:cNvSpPr txBox="1"/>
          </xdr:nvSpPr>
          <xdr:spPr>
            <a:xfrm>
              <a:off x="14207836" y="14076218"/>
              <a:ext cx="1800108" cy="13592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600" i="1">
                        <a:latin typeface="Cambria Math" panose="02040503050406030204" pitchFamily="18" charset="0"/>
                      </a:rPr>
                      <m:t>𝜃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600" i="1">
                                <a:latin typeface="Cambria Math" panose="02040503050406030204" pitchFamily="18" charset="0"/>
                              </a:rPr>
                              <m:t>tan</m:t>
                            </m:r>
                          </m:e>
                          <m:sup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</m:fName>
                      <m:e>
                        <m:d>
                          <m:d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6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i="1">
                                        <a:latin typeface="Cambria Math" panose="02040503050406030204" pitchFamily="18" charset="0"/>
                                      </a:rPr>
                                      <m:t>𝐻</m:t>
                                    </m:r>
                                  </m:e>
                                  <m:sub>
                                    <m:r>
                                      <a:rPr lang="en-US" sz="1600" i="1">
                                        <a:latin typeface="Cambria Math" panose="02040503050406030204" pitchFamily="18" charset="0"/>
                                      </a:rPr>
                                      <m:t>𝑘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  <m:r>
                                  <a:rPr lang="en-US" sz="160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den>
                            </m:f>
                          </m:e>
                        </m:d>
                      </m:e>
                    </m:func>
                  </m:oMath>
                </m:oMathPara>
              </a14:m>
              <a:br>
                <a:rPr lang="id-ID" sz="1600"/>
              </a:br>
              <a:endParaRPr lang="id-ID" sz="16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id-ID" sz="1600" i="1">
                        <a:latin typeface="Cambria Math" panose="02040503050406030204" pitchFamily="18" charset="0"/>
                      </a:rPr>
                      <m:t>𝜃</m:t>
                    </m:r>
                    <m:r>
                      <a:rPr lang="id-ID" sz="16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id-ID" sz="16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id-ID" sz="1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id-ID" sz="1600" i="1">
                                <a:latin typeface="Cambria Math" panose="02040503050406030204" pitchFamily="18" charset="0"/>
                              </a:rPr>
                              <m:t>tan</m:t>
                            </m:r>
                          </m:e>
                          <m:sup>
                            <m:r>
                              <a:rPr lang="id-ID" sz="160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</m:fName>
                      <m:e>
                        <m:d>
                          <m:dPr>
                            <m:ctrlPr>
                              <a:rPr lang="id-ID" sz="16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id-ID" sz="16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id-ID" sz="1600" i="1">
                                    <a:latin typeface="Cambria Math" panose="02040503050406030204" pitchFamily="18" charset="0"/>
                                  </a:rPr>
                                  <m:t>0,600</m:t>
                                </m:r>
                              </m:num>
                              <m:den>
                                <m:r>
                                  <a:rPr lang="id-ID" sz="1600" i="1">
                                    <a:latin typeface="Cambria Math" panose="02040503050406030204" pitchFamily="18" charset="0"/>
                                  </a:rPr>
                                  <m:t>0,675</m:t>
                                </m:r>
                              </m:den>
                            </m:f>
                          </m:e>
                        </m:d>
                      </m:e>
                    </m:func>
                  </m:oMath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41.63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𝑜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416D2FE-7E26-4F94-BB3C-53A6890EA20B}"/>
                </a:ext>
              </a:extLst>
            </xdr:cNvPr>
            <xdr:cNvSpPr txBox="1"/>
          </xdr:nvSpPr>
          <xdr:spPr>
            <a:xfrm>
              <a:off x="14207836" y="14076218"/>
              <a:ext cx="1800108" cy="13592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𝜃=tan^(−1)⁡(𝐻_𝑘/Δ𝑅)</a:t>
              </a:r>
              <a:br>
                <a:rPr lang="id-ID" sz="1600"/>
              </a:br>
              <a:endParaRPr lang="id-ID" sz="1600" i="1">
                <a:latin typeface="Cambria Math" panose="02040503050406030204" pitchFamily="18" charset="0"/>
              </a:endParaRPr>
            </a:p>
            <a:p>
              <a:r>
                <a:rPr lang="id-ID" sz="1600" i="0">
                  <a:latin typeface="Cambria Math" panose="02040503050406030204" pitchFamily="18" charset="0"/>
                </a:rPr>
                <a:t>𝜃=tan^(−1)⁡(0,600/0,675)</a:t>
              </a:r>
              <a:br>
                <a:rPr lang="id-ID" sz="1600"/>
              </a:br>
              <a:r>
                <a:rPr lang="id-ID" sz="1600" b="0" i="0">
                  <a:latin typeface="Cambria Math" panose="02040503050406030204" pitchFamily="18" charset="0"/>
                </a:rPr>
                <a:t>=〖41.63〗^𝑜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16</xdr:col>
      <xdr:colOff>34637</xdr:colOff>
      <xdr:row>86</xdr:row>
      <xdr:rowOff>110836</xdr:rowOff>
    </xdr:from>
    <xdr:ext cx="1103059" cy="505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18477B89-F2C0-EA3A-7A1D-9E0A8412D52E}"/>
                </a:ext>
              </a:extLst>
            </xdr:cNvPr>
            <xdr:cNvSpPr txBox="1"/>
          </xdr:nvSpPr>
          <xdr:spPr>
            <a:xfrm>
              <a:off x="14235546" y="15918872"/>
              <a:ext cx="1103059" cy="505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600" i="1"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90</m:t>
                        </m:r>
                      </m:e>
                      <m:sup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∘</m:t>
                        </m:r>
                      </m:sup>
                    </m:sSup>
                    <m:r>
                      <a:rPr lang="en-US" sz="16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𝜃</m:t>
                    </m:r>
                  </m:oMath>
                  <m:oMath>
                    <m:r>
                      <a:rPr lang="en-US" sz="16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𝛼</m:t>
                    </m:r>
                    <m:r>
                      <a:rPr lang="id-ID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id-ID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d-ID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48.37</m:t>
                        </m:r>
                      </m:e>
                      <m:sup>
                        <m:r>
                          <a:rPr lang="id-ID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𝑜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18477B89-F2C0-EA3A-7A1D-9E0A8412D52E}"/>
                </a:ext>
              </a:extLst>
            </xdr:cNvPr>
            <xdr:cNvSpPr txBox="1"/>
          </xdr:nvSpPr>
          <xdr:spPr>
            <a:xfrm>
              <a:off x="14235546" y="15918872"/>
              <a:ext cx="1103059" cy="505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𝛼=90^∘−𝜃</a:t>
              </a:r>
              <a:br>
                <a:rPr lang="id-ID" sz="1600"/>
              </a:br>
              <a:r>
                <a:rPr lang="en-US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id-ID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=〖48.37〗^𝑜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25</xdr:col>
      <xdr:colOff>55419</xdr:colOff>
      <xdr:row>35</xdr:row>
      <xdr:rowOff>96981</xdr:rowOff>
    </xdr:from>
    <xdr:ext cx="1626214" cy="7154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E0DD6BF-BFB7-714F-88CB-CD1BF12DCA80}"/>
                </a:ext>
              </a:extLst>
            </xdr:cNvPr>
            <xdr:cNvSpPr txBox="1"/>
          </xdr:nvSpPr>
          <xdr:spPr>
            <a:xfrm>
              <a:off x="8409710" y="19202399"/>
              <a:ext cx="1626214" cy="7154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=1000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𝑘𝑔</m:t>
                    </m:r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1000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500</m:t>
                        </m:r>
                      </m:den>
                    </m:f>
                    <m:r>
                      <a:rPr lang="id-ID" sz="1600" b="0" i="1">
                        <a:latin typeface="Cambria Math" panose="02040503050406030204" pitchFamily="18" charset="0"/>
                      </a:rPr>
                      <m:t>=2 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E0DD6BF-BFB7-714F-88CB-CD1BF12DCA80}"/>
                </a:ext>
              </a:extLst>
            </xdr:cNvPr>
            <xdr:cNvSpPr txBox="1"/>
          </xdr:nvSpPr>
          <xdr:spPr>
            <a:xfrm>
              <a:off x="8409710" y="19202399"/>
              <a:ext cx="1626214" cy="7154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𝑀_𝑐=1000 𝑘𝑔</a:t>
              </a:r>
              <a:br>
                <a:rPr lang="id-ID" sz="1600" b="0"/>
              </a:br>
              <a:r>
                <a:rPr lang="id-ID" sz="1600" b="0" i="0">
                  <a:latin typeface="Cambria Math" panose="02040503050406030204" pitchFamily="18" charset="0"/>
                </a:rPr>
                <a:t>𝑉_𝑐=1000/500=2 𝑚^3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26</xdr:col>
      <xdr:colOff>124691</xdr:colOff>
      <xdr:row>41</xdr:row>
      <xdr:rowOff>41564</xdr:rowOff>
    </xdr:from>
    <xdr:ext cx="930768" cy="474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6D3A6A8-1ED7-592A-C885-5A5B976CED9C}"/>
                </a:ext>
              </a:extLst>
            </xdr:cNvPr>
            <xdr:cNvSpPr txBox="1"/>
          </xdr:nvSpPr>
          <xdr:spPr>
            <a:xfrm>
              <a:off x="25336005" y="7770421"/>
              <a:ext cx="930768" cy="474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id-ID" sz="18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id-ID" sz="18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</m:acc>
                      </m:e>
                      <m:sub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id-ID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8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id-ID" sz="18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num>
                      <m:den>
                        <m:r>
                          <a:rPr lang="id-ID" sz="1800" b="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6D3A6A8-1ED7-592A-C885-5A5B976CED9C}"/>
                </a:ext>
              </a:extLst>
            </xdr:cNvPr>
            <xdr:cNvSpPr txBox="1"/>
          </xdr:nvSpPr>
          <xdr:spPr>
            <a:xfrm>
              <a:off x="25336005" y="7770421"/>
              <a:ext cx="930768" cy="474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800" b="0" i="0">
                  <a:latin typeface="Cambria Math" panose="02040503050406030204" pitchFamily="18" charset="0"/>
                </a:rPr>
                <a:t>𝑚 ̇_𝑐=𝑚_𝑐/𝑡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25</xdr:col>
      <xdr:colOff>17929</xdr:colOff>
      <xdr:row>47</xdr:row>
      <xdr:rowOff>53788</xdr:rowOff>
    </xdr:from>
    <xdr:ext cx="1044710" cy="4906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CBB398A-D541-9F99-FDE0-802DE1FAA149}"/>
                </a:ext>
              </a:extLst>
            </xdr:cNvPr>
            <xdr:cNvSpPr txBox="1"/>
          </xdr:nvSpPr>
          <xdr:spPr>
            <a:xfrm>
              <a:off x="22546235" y="8740588"/>
              <a:ext cx="1044710" cy="490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</m:acc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1.000</m:t>
                        </m:r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</m:acc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𝑐</m:t>
                        </m:r>
                      </m:sub>
                    </m:sSub>
                    <m:r>
                      <a:rPr lang="id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=1000 </m:t>
                    </m:r>
                    <m:r>
                      <a:rPr lang="id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𝑘𝑔</m:t>
                    </m:r>
                    <m:r>
                      <a:rPr lang="id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id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ℎ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CBB398A-D541-9F99-FDE0-802DE1FAA149}"/>
                </a:ext>
              </a:extLst>
            </xdr:cNvPr>
            <xdr:cNvSpPr txBox="1"/>
          </xdr:nvSpPr>
          <xdr:spPr>
            <a:xfrm>
              <a:off x="22546235" y="8740588"/>
              <a:ext cx="1044710" cy="490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𝑚 ̇_𝑐=1.000/1</a:t>
              </a:r>
              <a:br>
                <a:rPr lang="id-ID" sz="1100"/>
              </a:b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 ̇_𝑐</a:t>
              </a:r>
              <a:r>
                <a:rPr lang="id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=1000 𝑘𝑔/ℎ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17929</xdr:colOff>
      <xdr:row>52</xdr:row>
      <xdr:rowOff>80683</xdr:rowOff>
    </xdr:from>
    <xdr:ext cx="994824" cy="8426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D12A83B-2933-94F7-893A-BA83A1E089B7}"/>
                </a:ext>
              </a:extLst>
            </xdr:cNvPr>
            <xdr:cNvSpPr txBox="1"/>
          </xdr:nvSpPr>
          <xdr:spPr>
            <a:xfrm>
              <a:off x="22546235" y="9672918"/>
              <a:ext cx="994824" cy="8426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̇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br>
                <a:rPr lang="id-ID" sz="1100"/>
              </a:br>
              <a:endParaRPr lang="id-ID" sz="11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1.000</m:t>
                        </m:r>
                      </m:num>
                      <m:den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500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𝑄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𝑏</m:t>
                        </m:r>
                      </m:sub>
                    </m:sSub>
                    <m:r>
                      <a:rPr lang="id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=2.00 </m:t>
                    </m:r>
                    <m:sSup>
                      <m:sSupPr>
                        <m:ctrlPr>
                          <a:rPr lang="id-ID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d-ID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p>
                        <m:r>
                          <a:rPr lang="id-ID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  <m:r>
                      <a:rPr lang="id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id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ℎ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D12A83B-2933-94F7-893A-BA83A1E089B7}"/>
                </a:ext>
              </a:extLst>
            </xdr:cNvPr>
            <xdr:cNvSpPr txBox="1"/>
          </xdr:nvSpPr>
          <xdr:spPr>
            <a:xfrm>
              <a:off x="22546235" y="9672918"/>
              <a:ext cx="994824" cy="8426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𝑄_𝑏=𝑚 ̇_𝑐/𝜌_𝑏 </a:t>
              </a:r>
              <a:br>
                <a:rPr lang="id-ID" sz="1100"/>
              </a:br>
              <a:endParaRPr lang="id-ID" sz="1100" i="1">
                <a:latin typeface="Cambria Math" panose="02040503050406030204" pitchFamily="18" charset="0"/>
              </a:endParaRPr>
            </a:p>
            <a:p>
              <a:r>
                <a:rPr lang="id-ID" sz="1100" i="0">
                  <a:latin typeface="Cambria Math" panose="02040503050406030204" pitchFamily="18" charset="0"/>
                </a:rPr>
                <a:t>𝑄_𝑏=1.000/500</a:t>
              </a:r>
              <a:br>
                <a:rPr lang="id-ID" sz="1100"/>
              </a:b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𝑄_𝑏</a:t>
              </a:r>
              <a:r>
                <a:rPr lang="id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=2.00 𝑚^3/ℎ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16327</xdr:colOff>
      <xdr:row>53</xdr:row>
      <xdr:rowOff>27214</xdr:rowOff>
    </xdr:from>
    <xdr:ext cx="6482443" cy="15294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97EEA43E-AD3D-C84A-E3CA-A66BA8585D8A}"/>
                </a:ext>
              </a:extLst>
            </xdr:cNvPr>
            <xdr:cNvSpPr txBox="1"/>
          </xdr:nvSpPr>
          <xdr:spPr>
            <a:xfrm>
              <a:off x="25282070" y="10140043"/>
              <a:ext cx="6482443" cy="152944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𝑆𝑘𝑒𝑛𝑎𝑟𝑖𝑜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id-ID" sz="1600" b="0"/>
            </a:p>
            <a:p>
              <a:pPr algn="ctr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r>
                      <a:rPr lang="en-US" sz="1600" i="1">
                        <a:latin typeface="Cambria Math" panose="02040503050406030204" pitchFamily="18" charset="0"/>
                      </a:rPr>
                      <m:t>=4,00 </m:t>
                    </m:r>
                    <m:sSup>
                      <m:sSupPr>
                        <m:ctrlPr>
                          <a:rPr lang="en-US" sz="1600" i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n-US" sz="160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p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id-ID" sz="1600"/>
            </a:p>
            <a:p>
              <a:pPr algn="ctr"/>
              <a:r>
                <a:rPr lang="en-US" sz="1600"/>
                <a:t>Jika waktu transfer diasumsikan satu jam, debit air rata-rata secara sederhana:</a:t>
              </a:r>
              <a:endParaRPr lang="id-ID" sz="1600"/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r>
                      <a:rPr lang="id-ID" sz="16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id-ID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60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id-ID" sz="16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sub>
                        </m:sSub>
                      </m:num>
                      <m:den>
                        <m:r>
                          <a:rPr lang="id-ID" sz="16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id-ID" sz="16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i="1">
                            <a:latin typeface="Cambria Math" panose="02040503050406030204" pitchFamily="18" charset="0"/>
                          </a:rPr>
                          <m:t>4,00</m:t>
                        </m:r>
                      </m:num>
                      <m:den>
                        <m:r>
                          <a:rPr lang="id-ID" sz="160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</m:oMath>
                  <m:oMath>
                    <m:sSub>
                      <m:sSub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r>
                      <a:rPr lang="id-ID" sz="1600" b="0" i="1">
                        <a:latin typeface="Cambria Math" panose="02040503050406030204" pitchFamily="18" charset="0"/>
                      </a:rPr>
                      <m:t>=4.00 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id-ID" sz="16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ℎ</m:t>
                    </m:r>
                  </m:oMath>
                </m:oMathPara>
              </a14:m>
              <a:endParaRPr lang="id-ID" sz="1600" i="1">
                <a:latin typeface="Cambria Math" panose="02040503050406030204" pitchFamily="18" charset="0"/>
              </a:endParaRPr>
            </a:p>
            <a:p>
              <a:pPr algn="ctr"/>
              <a:br>
                <a:rPr lang="id-ID" sz="1600"/>
              </a:br>
              <a:endParaRPr lang="en-US" sz="16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97EEA43E-AD3D-C84A-E3CA-A66BA8585D8A}"/>
                </a:ext>
              </a:extLst>
            </xdr:cNvPr>
            <xdr:cNvSpPr txBox="1"/>
          </xdr:nvSpPr>
          <xdr:spPr>
            <a:xfrm>
              <a:off x="25282070" y="10140043"/>
              <a:ext cx="6482443" cy="152944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ctr"/>
              <a:r>
                <a:rPr lang="id-ID" sz="1600" b="0" i="0">
                  <a:latin typeface="Cambria Math" panose="02040503050406030204" pitchFamily="18" charset="0"/>
                </a:rPr>
                <a:t>𝑆𝑘𝑒𝑛𝑎𝑟𝑖𝑜 𝑇−𝐵</a:t>
              </a:r>
              <a:endParaRPr lang="id-ID" sz="1600" b="0"/>
            </a:p>
            <a:p>
              <a:pPr algn="ctr"/>
              <a:r>
                <a:rPr lang="en-US" sz="1600" i="0">
                  <a:latin typeface="Cambria Math" panose="02040503050406030204" pitchFamily="18" charset="0"/>
                </a:rPr>
                <a:t>𝑉_𝑤=4,00 "m" ^3</a:t>
              </a:r>
              <a:endParaRPr lang="id-ID" sz="1600"/>
            </a:p>
            <a:p>
              <a:pPr algn="ctr"/>
              <a:r>
                <a:rPr lang="en-US" sz="1600"/>
                <a:t>Jika waktu transfer diasumsikan satu jam, debit air rata-rata secara sederhana:</a:t>
              </a:r>
              <a:endParaRPr lang="id-ID" sz="1600"/>
            </a:p>
            <a:p>
              <a:r>
                <a:rPr lang="id-ID" sz="1600" i="0">
                  <a:latin typeface="Cambria Math" panose="02040503050406030204" pitchFamily="18" charset="0"/>
                </a:rPr>
                <a:t>𝑄_𝑤=𝑉_𝑤/𝑡=4,00/1</a:t>
              </a:r>
              <a:br>
                <a:rPr lang="id-ID" sz="1600" i="1">
                  <a:latin typeface="Cambria Math" panose="02040503050406030204" pitchFamily="18" charset="0"/>
                </a:rPr>
              </a:br>
              <a:r>
                <a:rPr lang="id-ID" sz="1600" b="0" i="0">
                  <a:latin typeface="Cambria Math" panose="02040503050406030204" pitchFamily="18" charset="0"/>
                </a:rPr>
                <a:t>𝑄_𝑤=4.00 𝑚^3/ℎ</a:t>
              </a:r>
              <a:endParaRPr lang="id-ID" sz="1600" i="1">
                <a:latin typeface="Cambria Math" panose="02040503050406030204" pitchFamily="18" charset="0"/>
              </a:endParaRPr>
            </a:p>
            <a:p>
              <a:pPr algn="ctr"/>
              <a:br>
                <a:rPr lang="id-ID" sz="1600"/>
              </a:br>
              <a:endParaRPr lang="en-US" sz="1600"/>
            </a:p>
          </xdr:txBody>
        </xdr:sp>
      </mc:Fallback>
    </mc:AlternateContent>
    <xdr:clientData/>
  </xdr:oneCellAnchor>
  <xdr:oneCellAnchor>
    <xdr:from>
      <xdr:col>25</xdr:col>
      <xdr:colOff>41564</xdr:colOff>
      <xdr:row>68</xdr:row>
      <xdr:rowOff>55418</xdr:rowOff>
    </xdr:from>
    <xdr:ext cx="2752485" cy="4626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C0452B8-DBB8-297A-1AF0-CB63F81B0FCF}"/>
                </a:ext>
              </a:extLst>
            </xdr:cNvPr>
            <xdr:cNvSpPr txBox="1"/>
          </xdr:nvSpPr>
          <xdr:spPr>
            <a:xfrm>
              <a:off x="22582909" y="12690763"/>
              <a:ext cx="2752485" cy="4626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3600</m:t>
                        </m:r>
                      </m:den>
                    </m:f>
                    <m:r>
                      <a:rPr lang="id-ID" sz="1600" b="0" i="1">
                        <a:latin typeface="Cambria Math" panose="02040503050406030204" pitchFamily="18" charset="0"/>
                      </a:rPr>
                      <m:t>=0.00166667 </m:t>
                    </m:r>
                    <m:sSup>
                      <m:sSupPr>
                        <m:ctrlPr>
                          <a:rPr lang="id-ID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id-ID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id-ID" sz="16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𝑠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C0452B8-DBB8-297A-1AF0-CB63F81B0FCF}"/>
                </a:ext>
              </a:extLst>
            </xdr:cNvPr>
            <xdr:cNvSpPr txBox="1"/>
          </xdr:nvSpPr>
          <xdr:spPr>
            <a:xfrm>
              <a:off x="22582909" y="12690763"/>
              <a:ext cx="2752485" cy="4626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600" b="0" i="0">
                  <a:latin typeface="Cambria Math" panose="02040503050406030204" pitchFamily="18" charset="0"/>
                </a:rPr>
                <a:t>𝑄=6/3600=0.00166667 𝑚^3/𝑠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25</xdr:col>
      <xdr:colOff>41564</xdr:colOff>
      <xdr:row>73</xdr:row>
      <xdr:rowOff>96982</xdr:rowOff>
    </xdr:from>
    <xdr:ext cx="792718" cy="5400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D6A8FDAA-92A4-6E99-A1D8-D88938E5C801}"/>
                </a:ext>
              </a:extLst>
            </xdr:cNvPr>
            <xdr:cNvSpPr txBox="1"/>
          </xdr:nvSpPr>
          <xdr:spPr>
            <a:xfrm>
              <a:off x="22582909" y="13632873"/>
              <a:ext cx="792718" cy="540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60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𝜋</m:t>
                        </m:r>
                        <m:sSubSup>
                          <m:sSubSup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  <m:sup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D6A8FDAA-92A4-6E99-A1D8-D88938E5C801}"/>
                </a:ext>
              </a:extLst>
            </xdr:cNvPr>
            <xdr:cNvSpPr txBox="1"/>
          </xdr:nvSpPr>
          <xdr:spPr>
            <a:xfrm>
              <a:off x="22582909" y="13632873"/>
              <a:ext cx="792718" cy="540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𝑣=4𝑄/(𝜋𝐷_𝑝^2 )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29</xdr:col>
      <xdr:colOff>762001</xdr:colOff>
      <xdr:row>73</xdr:row>
      <xdr:rowOff>180109</xdr:rowOff>
    </xdr:from>
    <xdr:ext cx="2957861" cy="1233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689B206-E6C5-2A6F-8F4E-D4F10C493C64}"/>
                </a:ext>
              </a:extLst>
            </xdr:cNvPr>
            <xdr:cNvSpPr txBox="1"/>
          </xdr:nvSpPr>
          <xdr:spPr>
            <a:xfrm>
              <a:off x="26198946" y="13729854"/>
              <a:ext cx="2957861" cy="123399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𝜋</m:t>
                        </m:r>
                        <m:sSup>
                          <m:sSup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600" i="1">
                                    <a:latin typeface="Cambria Math" panose="02040503050406030204" pitchFamily="18" charset="0"/>
                                  </a:rPr>
                                  <m:t>0,05</m:t>
                                </m:r>
                              </m:e>
                            </m:d>
                          </m:e>
                          <m:sup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  <m:r>
                      <a:rPr lang="en-US" sz="1600" i="1">
                        <a:latin typeface="Cambria Math" panose="02040503050406030204" pitchFamily="18" charset="0"/>
                      </a:rPr>
                      <m:t>=0,00196350 </m:t>
                    </m:r>
                    <m:sSup>
                      <m:sSupPr>
                        <m:ctrlPr>
                          <a:rPr lang="en-US" sz="1600" i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n-US" sz="160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p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br>
                <a:rPr lang="id-ID" sz="1600"/>
              </a:br>
              <a:endParaRPr lang="id-ID" sz="16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id-ID" sz="160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id-ID" sz="16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600" i="1">
                            <a:latin typeface="Cambria Math" panose="02040503050406030204" pitchFamily="18" charset="0"/>
                          </a:rPr>
                          <m:t>0,00166667</m:t>
                        </m:r>
                      </m:num>
                      <m:den>
                        <m:r>
                          <a:rPr lang="id-ID" sz="1600" i="1">
                            <a:latin typeface="Cambria Math" panose="02040503050406030204" pitchFamily="18" charset="0"/>
                          </a:rPr>
                          <m:t>0,00196350</m:t>
                        </m:r>
                      </m:den>
                    </m:f>
                  </m:oMath>
                  <m:oMath>
                    <m:r>
                      <a:rPr lang="id-ID" sz="16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=0.84883 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id-ID" sz="1600" b="0" i="1">
                        <a:latin typeface="Cambria Math" panose="02040503050406030204" pitchFamily="18" charset="0"/>
                      </a:rPr>
                      <m:t>𝑠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689B206-E6C5-2A6F-8F4E-D4F10C493C64}"/>
                </a:ext>
              </a:extLst>
            </xdr:cNvPr>
            <xdr:cNvSpPr txBox="1"/>
          </xdr:nvSpPr>
          <xdr:spPr>
            <a:xfrm>
              <a:off x="26198946" y="13729854"/>
              <a:ext cx="2957861" cy="123399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𝐴_𝑝=(𝜋(0,05)^2)/4=0,00196350 "m" ^2</a:t>
              </a:r>
              <a:br>
                <a:rPr lang="id-ID" sz="1600"/>
              </a:br>
              <a:endParaRPr lang="id-ID" sz="1600" i="1">
                <a:latin typeface="Cambria Math" panose="02040503050406030204" pitchFamily="18" charset="0"/>
              </a:endParaRPr>
            </a:p>
            <a:p>
              <a:r>
                <a:rPr lang="id-ID" sz="1600" i="0">
                  <a:latin typeface="Cambria Math" panose="02040503050406030204" pitchFamily="18" charset="0"/>
                </a:rPr>
                <a:t>𝑣=0,00166667/0,00196350</a:t>
              </a:r>
              <a:br>
                <a:rPr lang="id-ID" sz="1600"/>
              </a:br>
              <a:r>
                <a:rPr lang="id-ID" sz="1600" b="0" i="0">
                  <a:latin typeface="Cambria Math" panose="02040503050406030204" pitchFamily="18" charset="0"/>
                </a:rPr>
                <a:t>𝑣=0.84883 𝑚/𝑠</a:t>
              </a:r>
              <a:endParaRPr lang="en-US" sz="16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365760</xdr:colOff>
      <xdr:row>0</xdr:row>
      <xdr:rowOff>22860</xdr:rowOff>
    </xdr:from>
    <xdr:to>
      <xdr:col>13</xdr:col>
      <xdr:colOff>858635</xdr:colOff>
      <xdr:row>17</xdr:row>
      <xdr:rowOff>136737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4D065EF-5BCD-9851-FC52-ABA259058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36280" y="22860"/>
          <a:ext cx="3333750" cy="3257550"/>
        </a:xfrm>
        <a:prstGeom prst="rect">
          <a:avLst/>
        </a:prstGeom>
      </xdr:spPr>
    </xdr:pic>
    <xdr:clientData/>
  </xdr:twoCellAnchor>
  <xdr:oneCellAnchor>
    <xdr:from>
      <xdr:col>12</xdr:col>
      <xdr:colOff>103051</xdr:colOff>
      <xdr:row>28</xdr:row>
      <xdr:rowOff>28484</xdr:rowOff>
    </xdr:from>
    <xdr:ext cx="1407758" cy="293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796ABD4-817E-9CFD-5C15-7F0FD33327AD}"/>
                </a:ext>
              </a:extLst>
            </xdr:cNvPr>
            <xdr:cNvSpPr txBox="1"/>
          </xdr:nvSpPr>
          <xdr:spPr>
            <a:xfrm>
              <a:off x="10136051" y="5171984"/>
              <a:ext cx="1407758" cy="29337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𝑂𝐹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𝑡𝑜𝑝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𝑂𝑓𝑓𝑠𝑒𝑡</m:t>
                        </m:r>
                      </m:sub>
                    </m:sSub>
                  </m:oMath>
                </m:oMathPara>
              </a14:m>
              <a:endParaRPr lang="id-ID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796ABD4-817E-9CFD-5C15-7F0FD33327AD}"/>
                </a:ext>
              </a:extLst>
            </xdr:cNvPr>
            <xdr:cNvSpPr txBox="1"/>
          </xdr:nvSpPr>
          <xdr:spPr>
            <a:xfrm>
              <a:off x="10136051" y="5171984"/>
              <a:ext cx="1407758" cy="29337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id-ID" sz="1100" b="0" i="0">
                  <a:latin typeface="Cambria Math" panose="02040503050406030204" pitchFamily="18" charset="0"/>
                </a:rPr>
                <a:t>𝑍_𝑂𝐹=𝑍_𝑡𝑜𝑝−𝐻_𝑂𝑓𝑓𝑠𝑒𝑡</a:t>
              </a:r>
              <a:endParaRPr lang="id-ID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606250</xdr:colOff>
      <xdr:row>27</xdr:row>
      <xdr:rowOff>61964</xdr:rowOff>
    </xdr:from>
    <xdr:ext cx="1986826" cy="7673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54BADE3-9C95-E292-522D-261E4A9C805D}"/>
                </a:ext>
              </a:extLst>
            </xdr:cNvPr>
            <xdr:cNvSpPr txBox="1"/>
          </xdr:nvSpPr>
          <xdr:spPr>
            <a:xfrm>
              <a:off x="11349613" y="5069393"/>
              <a:ext cx="1986826" cy="76739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m:rPr>
                            <m:nor/>
                          </m:rPr>
                          <a:rPr lang="id-ID" sz="1100" b="0" i="0">
                            <a:latin typeface="Cambria Math" panose="02040503050406030204" pitchFamily="18" charset="0"/>
                          </a:rPr>
                          <m:t>remaining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id-ID" sz="1100" b="0" i="1">
                        <a:latin typeface="Cambria Math" panose="02040503050406030204" pitchFamily="18" charset="0"/>
                      </a:rPr>
                      <m:t>Δ</m:t>
                    </m:r>
                    <m:r>
                      <a:rPr lang="id-ID" sz="1100" b="0" i="1">
                        <a:latin typeface="Cambria Math" panose="02040503050406030204" pitchFamily="18" charset="0"/>
                      </a:rPr>
                      <m:t>𝐻</m:t>
                    </m:r>
                    <m:r>
                      <a:rPr lang="id-ID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sub>
                    </m:sSub>
                  </m:oMath>
                </m:oMathPara>
              </a14:m>
              <a:br>
                <a:rPr lang="id-ID" sz="1100" b="0" i="1">
                  <a:latin typeface="Cambria Math" panose="02040503050406030204" pitchFamily="18" charset="0"/>
                </a:rPr>
              </a:br>
              <a:endParaRPr lang="id-ID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m:rPr>
                            <m:nor/>
                          </m:rPr>
                          <a:rPr lang="id-ID" sz="1100" b="0" i="0">
                            <a:latin typeface="Cambria Math" panose="02040503050406030204" pitchFamily="18" charset="0"/>
                          </a:rPr>
                          <m:t>remaining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=1,250−0,04396</m:t>
                    </m:r>
                  </m:oMath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𝑅𝑒𝑚𝑎𝑖𝑛𝑖𝑛𝑔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=1.20604 </m:t>
                    </m:r>
                    <m:r>
                      <a:rPr lang="id-ID" sz="1100" b="0" i="1">
                        <a:latin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id-ID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id-ID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54BADE3-9C95-E292-522D-261E4A9C805D}"/>
                </a:ext>
              </a:extLst>
            </xdr:cNvPr>
            <xdr:cNvSpPr txBox="1"/>
          </xdr:nvSpPr>
          <xdr:spPr>
            <a:xfrm>
              <a:off x="11349613" y="5069393"/>
              <a:ext cx="1986826" cy="76739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d-ID" sz="1100" b="0" i="0">
                  <a:latin typeface="Cambria Math" panose="02040503050406030204" pitchFamily="18" charset="0"/>
                </a:rPr>
                <a:t>𝐻_"remaining" =Δ𝐻−ℎ_𝐿</a:t>
              </a:r>
              <a:br>
                <a:rPr lang="id-ID" sz="1100" b="0" i="1">
                  <a:latin typeface="Cambria Math" panose="02040503050406030204" pitchFamily="18" charset="0"/>
                </a:rPr>
              </a:br>
              <a:endParaRPr lang="id-ID" sz="1100" b="0" i="1">
                <a:latin typeface="Cambria Math" panose="02040503050406030204" pitchFamily="18" charset="0"/>
              </a:endParaRPr>
            </a:p>
            <a:p>
              <a:r>
                <a:rPr lang="id-ID" sz="1100" b="0" i="0">
                  <a:latin typeface="Cambria Math" panose="02040503050406030204" pitchFamily="18" charset="0"/>
                </a:rPr>
                <a:t>𝐻_"remaining" =1,250−0,04396</a:t>
              </a:r>
              <a:br>
                <a:rPr lang="id-ID" sz="1100" b="0" i="1">
                  <a:latin typeface="Cambria Math" panose="02040503050406030204" pitchFamily="18" charset="0"/>
                </a:rPr>
              </a:br>
              <a:r>
                <a:rPr lang="id-ID" sz="1100" b="0" i="0">
                  <a:latin typeface="Cambria Math" panose="02040503050406030204" pitchFamily="18" charset="0"/>
                </a:rPr>
                <a:t>𝐻_𝑅𝑒𝑚𝑎𝑖𝑛𝑖𝑛𝑔=1.20604 𝑚</a:t>
              </a:r>
              <a:endParaRPr lang="id-ID" sz="1100" b="0" i="1">
                <a:latin typeface="Cambria Math" panose="02040503050406030204" pitchFamily="18" charset="0"/>
              </a:endParaRPr>
            </a:p>
            <a:p>
              <a:r>
                <a:rPr lang="id-ID" sz="1100" b="0" i="0">
                  <a:latin typeface="Cambria Math" panose="02040503050406030204" pitchFamily="18" charset="0"/>
                </a:rPr>
                <a:t>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11723</xdr:colOff>
      <xdr:row>32</xdr:row>
      <xdr:rowOff>3349</xdr:rowOff>
    </xdr:from>
    <xdr:ext cx="166616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06A366A-9221-638D-309D-18FB1EE16C72}"/>
                </a:ext>
              </a:extLst>
            </xdr:cNvPr>
            <xdr:cNvSpPr txBox="1"/>
          </xdr:nvSpPr>
          <xdr:spPr>
            <a:xfrm>
              <a:off x="15812756" y="5940250"/>
              <a:ext cx="166616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𝑐𝑙𝑒𝑎𝑟𝑎𝑛𝑐𝑒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𝑂𝐹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𝐶𝑎𝑟𝑏𝑜𝑛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06A366A-9221-638D-309D-18FB1EE16C72}"/>
                </a:ext>
              </a:extLst>
            </xdr:cNvPr>
            <xdr:cNvSpPr txBox="1"/>
          </xdr:nvSpPr>
          <xdr:spPr>
            <a:xfrm>
              <a:off x="15812756" y="5940250"/>
              <a:ext cx="166616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b="0" i="0">
                  <a:latin typeface="Cambria Math" panose="02040503050406030204" pitchFamily="18" charset="0"/>
                </a:rPr>
                <a:t>𝐻_𝑐𝑙𝑒𝑎𝑟𝑎𝑛𝑐𝑒=𝑍_𝑂𝐹−𝑍_𝐶𝑎𝑟𝑏𝑜𝑛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259080</xdr:colOff>
      <xdr:row>11</xdr:row>
      <xdr:rowOff>110491</xdr:rowOff>
    </xdr:from>
    <xdr:ext cx="663708" cy="4381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350DA52-C882-4D7A-62D6-1D98D877E007}"/>
                </a:ext>
              </a:extLst>
            </xdr:cNvPr>
            <xdr:cNvSpPr txBox="1"/>
          </xdr:nvSpPr>
          <xdr:spPr>
            <a:xfrm>
              <a:off x="6758940" y="2129791"/>
              <a:ext cx="663708" cy="4381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d-ID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d-ID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id-ID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id-ID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id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id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id-ID" sz="1100" b="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350DA52-C882-4D7A-62D6-1D98D877E007}"/>
                </a:ext>
              </a:extLst>
            </xdr:cNvPr>
            <xdr:cNvSpPr txBox="1"/>
          </xdr:nvSpPr>
          <xdr:spPr>
            <a:xfrm>
              <a:off x="6758940" y="2129791"/>
              <a:ext cx="663708" cy="4381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id-ID" sz="1100" b="0" i="0">
                  <a:latin typeface="Cambria Math" panose="02040503050406030204" pitchFamily="18" charset="0"/>
                </a:rPr>
                <a:t>𝑉_𝑐=𝑚_𝑐/</a:t>
              </a:r>
              <a:r>
                <a:rPr lang="id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𝜌_𝑏 </a:t>
              </a:r>
              <a:endParaRPr lang="id-ID" sz="1100" b="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312420</xdr:colOff>
      <xdr:row>16</xdr:row>
      <xdr:rowOff>41910</xdr:rowOff>
    </xdr:from>
    <xdr:ext cx="733791" cy="181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8BA0BDC-EDB7-C0C5-EAAA-633E016F054D}"/>
                </a:ext>
              </a:extLst>
            </xdr:cNvPr>
            <xdr:cNvSpPr txBox="1"/>
          </xdr:nvSpPr>
          <xdr:spPr>
            <a:xfrm>
              <a:off x="6812280" y="2975610"/>
              <a:ext cx="733791" cy="18133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void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𝜀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8BA0BDC-EDB7-C0C5-EAAA-633E016F054D}"/>
                </a:ext>
              </a:extLst>
            </xdr:cNvPr>
            <xdr:cNvSpPr txBox="1"/>
          </xdr:nvSpPr>
          <xdr:spPr>
            <a:xfrm>
              <a:off x="6812280" y="2975610"/>
              <a:ext cx="733791" cy="18133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𝑉_"void" =𝜀𝑉_𝑐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266700</xdr:colOff>
      <xdr:row>20</xdr:row>
      <xdr:rowOff>41910</xdr:rowOff>
    </xdr:from>
    <xdr:ext cx="1124860" cy="181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65821D-820F-5A02-E10E-5F27D96AA18D}"/>
                </a:ext>
              </a:extLst>
            </xdr:cNvPr>
            <xdr:cNvSpPr txBox="1"/>
          </xdr:nvSpPr>
          <xdr:spPr>
            <a:xfrm>
              <a:off x="6766560" y="3707130"/>
              <a:ext cx="1124860" cy="18133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solid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𝜀</m:t>
                        </m:r>
                      </m:e>
                    </m:d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65821D-820F-5A02-E10E-5F27D96AA18D}"/>
                </a:ext>
              </a:extLst>
            </xdr:cNvPr>
            <xdr:cNvSpPr txBox="1"/>
          </xdr:nvSpPr>
          <xdr:spPr>
            <a:xfrm>
              <a:off x="6766560" y="3707130"/>
              <a:ext cx="1124860" cy="18133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𝑉_"solid" =(1−𝜀) 𝑉_𝑐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22411</xdr:colOff>
      <xdr:row>11</xdr:row>
      <xdr:rowOff>80683</xdr:rowOff>
    </xdr:from>
    <xdr:ext cx="761747" cy="181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86CA0F0-616D-E473-B1C7-0BFB049FACDA}"/>
                </a:ext>
              </a:extLst>
            </xdr:cNvPr>
            <xdr:cNvSpPr txBox="1"/>
          </xdr:nvSpPr>
          <xdr:spPr>
            <a:xfrm>
              <a:off x="9569823" y="2061883"/>
              <a:ext cx="761747" cy="181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free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86CA0F0-616D-E473-B1C7-0BFB049FACDA}"/>
                </a:ext>
              </a:extLst>
            </xdr:cNvPr>
            <xdr:cNvSpPr txBox="1"/>
          </xdr:nvSpPr>
          <xdr:spPr>
            <a:xfrm>
              <a:off x="9569823" y="2061883"/>
              <a:ext cx="761747" cy="181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𝑉_"free" =𝐴ℎ_𝑜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31376</xdr:colOff>
      <xdr:row>14</xdr:row>
      <xdr:rowOff>62753</xdr:rowOff>
    </xdr:from>
    <xdr:ext cx="554574" cy="338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57705CE-4D96-0EEE-62E0-3475A54C95EB}"/>
                </a:ext>
              </a:extLst>
            </xdr:cNvPr>
            <xdr:cNvSpPr txBox="1"/>
          </xdr:nvSpPr>
          <xdr:spPr>
            <a:xfrm>
              <a:off x="9578788" y="2581835"/>
              <a:ext cx="554574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𝜋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57705CE-4D96-0EEE-62E0-3475A54C95EB}"/>
                </a:ext>
              </a:extLst>
            </xdr:cNvPr>
            <xdr:cNvSpPr txBox="1"/>
          </xdr:nvSpPr>
          <xdr:spPr>
            <a:xfrm>
              <a:off x="9578788" y="2581835"/>
              <a:ext cx="554574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𝐴=(𝜋𝐷^2)/4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1160929</xdr:colOff>
      <xdr:row>6</xdr:row>
      <xdr:rowOff>161365</xdr:rowOff>
    </xdr:from>
    <xdr:ext cx="1563826" cy="2098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165E140-7450-5AD7-B060-F5E8D4263123}"/>
                </a:ext>
              </a:extLst>
            </xdr:cNvPr>
            <xdr:cNvSpPr txBox="1"/>
          </xdr:nvSpPr>
          <xdr:spPr>
            <a:xfrm>
              <a:off x="13854953" y="1237130"/>
              <a:ext cx="1563826" cy="20986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occupied,A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free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165E140-7450-5AD7-B060-F5E8D4263123}"/>
                </a:ext>
              </a:extLst>
            </xdr:cNvPr>
            <xdr:cNvSpPr txBox="1"/>
          </xdr:nvSpPr>
          <xdr:spPr>
            <a:xfrm>
              <a:off x="13854953" y="1237130"/>
              <a:ext cx="1563826" cy="20986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𝑉_"occupied,A" =𝑉_𝐴−𝑉_"free"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918884</xdr:colOff>
      <xdr:row>31</xdr:row>
      <xdr:rowOff>44825</xdr:rowOff>
    </xdr:from>
    <xdr:ext cx="1092800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1391006-2B7F-46B4-9768-07594942FC2C}"/>
                </a:ext>
              </a:extLst>
            </xdr:cNvPr>
            <xdr:cNvSpPr txBox="1"/>
          </xdr:nvSpPr>
          <xdr:spPr>
            <a:xfrm>
              <a:off x="2747684" y="5647766"/>
              <a:ext cx="1092800" cy="28437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𝐿</m:t>
                        </m:r>
                      </m:sub>
                    </m:sSub>
                    <m:r>
                      <a:rPr lang="en-US" sz="18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𝐿</m:t>
                        </m:r>
                      </m:sub>
                    </m:sSub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𝐿</m:t>
                        </m:r>
                      </m:sub>
                    </m:sSub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1391006-2B7F-46B4-9768-07594942FC2C}"/>
                </a:ext>
              </a:extLst>
            </xdr:cNvPr>
            <xdr:cNvSpPr txBox="1"/>
          </xdr:nvSpPr>
          <xdr:spPr>
            <a:xfrm>
              <a:off x="2747684" y="5647766"/>
              <a:ext cx="1092800" cy="28437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𝑚_𝐿=𝜌_𝐿 𝑉_𝐿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3</xdr:col>
      <xdr:colOff>847165</xdr:colOff>
      <xdr:row>37</xdr:row>
      <xdr:rowOff>0</xdr:rowOff>
    </xdr:from>
    <xdr:ext cx="1226170" cy="256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5F11504-85F5-07A4-E2DB-066380DD6B5C}"/>
                </a:ext>
              </a:extLst>
            </xdr:cNvPr>
            <xdr:cNvSpPr txBox="1"/>
          </xdr:nvSpPr>
          <xdr:spPr>
            <a:xfrm>
              <a:off x="2675965" y="6678706"/>
              <a:ext cx="1226170" cy="25699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600" i="1">
                        <a:latin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5F11504-85F5-07A4-E2DB-066380DD6B5C}"/>
                </a:ext>
              </a:extLst>
            </xdr:cNvPr>
            <xdr:cNvSpPr txBox="1"/>
          </xdr:nvSpPr>
          <xdr:spPr>
            <a:xfrm>
              <a:off x="2675965" y="6678706"/>
              <a:ext cx="1226170" cy="25699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𝑊_(𝐿,𝐴)=𝑚_(𝐿,𝐴) 𝑔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8</xdr:col>
      <xdr:colOff>909917</xdr:colOff>
      <xdr:row>33</xdr:row>
      <xdr:rowOff>53788</xdr:rowOff>
    </xdr:from>
    <xdr:ext cx="642933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145D7BA-92D4-DA9A-6B47-C7E9458A3945}"/>
                </a:ext>
              </a:extLst>
            </xdr:cNvPr>
            <xdr:cNvSpPr txBox="1"/>
          </xdr:nvSpPr>
          <xdr:spPr>
            <a:xfrm>
              <a:off x="6799729" y="6024282"/>
              <a:ext cx="64293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145D7BA-92D4-DA9A-6B47-C7E9458A3945}"/>
                </a:ext>
              </a:extLst>
            </xdr:cNvPr>
            <xdr:cNvSpPr txBox="1"/>
          </xdr:nvSpPr>
          <xdr:spPr>
            <a:xfrm>
              <a:off x="6799729" y="6024282"/>
              <a:ext cx="64293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𝑊_𝑐=𝑚_𝑐 𝑔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49306</xdr:colOff>
      <xdr:row>30</xdr:row>
      <xdr:rowOff>170328</xdr:rowOff>
    </xdr:from>
    <xdr:ext cx="2326341" cy="3227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A806F31-718E-EF37-E59D-B7F13C225B46}"/>
                </a:ext>
              </a:extLst>
            </xdr:cNvPr>
            <xdr:cNvSpPr txBox="1"/>
          </xdr:nvSpPr>
          <xdr:spPr>
            <a:xfrm>
              <a:off x="10000130" y="5602940"/>
              <a:ext cx="2326341" cy="3227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m:rPr>
                            <m:sty m:val="p"/>
                          </m:rPr>
                          <a:rPr lang="en-US" sz="1600" i="1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600" i="0">
                            <a:latin typeface="Cambria Math" panose="02040503050406030204" pitchFamily="18" charset="0"/>
                          </a:rPr>
                          <m:t>vessel</m:t>
                        </m:r>
                      </m:sub>
                    </m:sSub>
                    <m:r>
                      <a:rPr lang="en-US" sz="160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600" i="0">
                            <a:latin typeface="Cambria Math" panose="02040503050406030204" pitchFamily="18" charset="0"/>
                          </a:rPr>
                          <m:t>solid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A806F31-718E-EF37-E59D-B7F13C225B46}"/>
                </a:ext>
              </a:extLst>
            </xdr:cNvPr>
            <xdr:cNvSpPr txBox="1"/>
          </xdr:nvSpPr>
          <xdr:spPr>
            <a:xfrm>
              <a:off x="10000130" y="5602940"/>
              <a:ext cx="2326341" cy="3227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𝑉_(𝐿,max)=𝑉_"vessel" −𝑉_"solid" 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3</xdr:col>
      <xdr:colOff>40341</xdr:colOff>
      <xdr:row>49</xdr:row>
      <xdr:rowOff>62753</xdr:rowOff>
    </xdr:from>
    <xdr:ext cx="4856394" cy="7629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46F8110-C07E-B132-AE4D-7688971BB1BB}"/>
                </a:ext>
              </a:extLst>
            </xdr:cNvPr>
            <xdr:cNvSpPr txBox="1"/>
          </xdr:nvSpPr>
          <xdr:spPr>
            <a:xfrm>
              <a:off x="1869141" y="8946777"/>
              <a:ext cx="4856394" cy="76296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total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carbon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liquid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vessel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internals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attached equipment</m:t>
                        </m:r>
                      </m:sub>
                    </m:sSub>
                  </m:oMath>
                </m:oMathPara>
              </a14:m>
              <a:br>
                <a:rPr lang="id-ID" sz="1100"/>
              </a:br>
              <a:endParaRPr lang="id-ID" sz="11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m:rPr>
                            <m:nor/>
                          </m:rPr>
                          <a:rPr lang="id-ID" sz="1100" i="0">
                            <a:latin typeface="Cambria Math" panose="02040503050406030204" pitchFamily="18" charset="0"/>
                          </a:rPr>
                          <m:t>total</m:t>
                        </m:r>
                      </m:sub>
                    </m:sSub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id-ID" sz="1100" i="0">
                            <a:latin typeface="Cambria Math" panose="02040503050406030204" pitchFamily="18" charset="0"/>
                          </a:rPr>
                          <m:t>total</m:t>
                        </m:r>
                      </m:sub>
                    </m:sSub>
                    <m:r>
                      <a:rPr lang="id-ID" sz="1100" i="1">
                        <a:latin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id-ID" sz="1100"/>
            </a:p>
            <a:p>
              <a:pPr/>
              <a:br>
                <a:rPr lang="id-ID" sz="1100"/>
              </a:b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total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42.754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liquid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vessel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internals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attached equipment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46F8110-C07E-B132-AE4D-7688971BB1BB}"/>
                </a:ext>
              </a:extLst>
            </xdr:cNvPr>
            <xdr:cNvSpPr txBox="1"/>
          </xdr:nvSpPr>
          <xdr:spPr>
            <a:xfrm>
              <a:off x="1869141" y="8946777"/>
              <a:ext cx="4856394" cy="76296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𝑚_"total" =𝑚_"carbon" +𝑚_"liquid" +𝑚_"vessel" +𝑚_"internals" +𝑚_"attached equipment" </a:t>
              </a:r>
              <a:br>
                <a:rPr lang="id-ID" sz="1100"/>
              </a:br>
              <a:endParaRPr lang="id-ID" sz="1100" i="1">
                <a:latin typeface="Cambria Math" panose="02040503050406030204" pitchFamily="18" charset="0"/>
              </a:endParaRPr>
            </a:p>
            <a:p>
              <a:r>
                <a:rPr lang="id-ID" sz="1100" i="0">
                  <a:latin typeface="Cambria Math" panose="02040503050406030204" pitchFamily="18" charset="0"/>
                </a:rPr>
                <a:t>𝑊_"total" =𝑚_"total"  𝑔</a:t>
              </a:r>
              <a:endParaRPr lang="id-ID" sz="1100"/>
            </a:p>
            <a:p>
              <a:br>
                <a:rPr lang="id-ID" sz="1100"/>
              </a:b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𝑚_"total" 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42.754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+𝑚_"liquid" +𝑚_"vessel" +𝑚_"internals" +𝑚_"attached equipment"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58270</xdr:colOff>
      <xdr:row>50</xdr:row>
      <xdr:rowOff>98612</xdr:rowOff>
    </xdr:from>
    <xdr:ext cx="652550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ED503C3-4DF9-AC33-9250-663EA038F788}"/>
                </a:ext>
              </a:extLst>
            </xdr:cNvPr>
            <xdr:cNvSpPr txBox="1"/>
          </xdr:nvSpPr>
          <xdr:spPr>
            <a:xfrm>
              <a:off x="8789894" y="9161930"/>
              <a:ext cx="65255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avg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𝑊</m:t>
                        </m:r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ED503C3-4DF9-AC33-9250-663EA038F788}"/>
                </a:ext>
              </a:extLst>
            </xdr:cNvPr>
            <xdr:cNvSpPr txBox="1"/>
          </xdr:nvSpPr>
          <xdr:spPr>
            <a:xfrm>
              <a:off x="8789894" y="9161930"/>
              <a:ext cx="65255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𝑅_"avg" =𝑊/𝑛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822960</xdr:colOff>
      <xdr:row>10</xdr:row>
      <xdr:rowOff>72390</xdr:rowOff>
    </xdr:from>
    <xdr:ext cx="1306191" cy="1822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2CA7A23-86F2-E489-236C-67F09A938278}"/>
                </a:ext>
              </a:extLst>
            </xdr:cNvPr>
            <xdr:cNvSpPr txBox="1"/>
          </xdr:nvSpPr>
          <xdr:spPr>
            <a:xfrm>
              <a:off x="5494020" y="1908810"/>
              <a:ext cx="1306191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𝑡𝑜𝑝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𝑣𝑒𝑠𝑠𝑒𝑙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2CA7A23-86F2-E489-236C-67F09A938278}"/>
                </a:ext>
              </a:extLst>
            </xdr:cNvPr>
            <xdr:cNvSpPr txBox="1"/>
          </xdr:nvSpPr>
          <xdr:spPr>
            <a:xfrm>
              <a:off x="5494020" y="1908810"/>
              <a:ext cx="1306191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𝑍_𝑡𝑜𝑝=𝑍_𝑜𝑢𝑡+𝐻_𝑣𝑒𝑠𝑠𝑒𝑙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312420</xdr:colOff>
      <xdr:row>15</xdr:row>
      <xdr:rowOff>171450</xdr:rowOff>
    </xdr:from>
    <xdr:ext cx="1850250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3552D63-41EE-E262-4242-83FA73B81AFA}"/>
                </a:ext>
              </a:extLst>
            </xdr:cNvPr>
            <xdr:cNvSpPr txBox="1"/>
          </xdr:nvSpPr>
          <xdr:spPr>
            <a:xfrm>
              <a:off x="8740140" y="2929890"/>
              <a:ext cx="1850250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𝑎𝑣𝑎𝑖𝑙𝑎𝑏𝑙𝑒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𝑜𝑣𝑒𝑟𝑓𝑙𝑜𝑤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𝑉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102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3552D63-41EE-E262-4242-83FA73B81AFA}"/>
                </a:ext>
              </a:extLst>
            </xdr:cNvPr>
            <xdr:cNvSpPr txBox="1"/>
          </xdr:nvSpPr>
          <xdr:spPr>
            <a:xfrm>
              <a:off x="8740140" y="2929890"/>
              <a:ext cx="1850250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𝐻_𝑎𝑣𝑎𝑖𝑙𝑎𝑏𝑙𝑒=𝑍_𝑜𝑣𝑒𝑟𝑓𝑙𝑜𝑤−𝑍_𝑉102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0</xdr:col>
      <xdr:colOff>541020</xdr:colOff>
      <xdr:row>19</xdr:row>
      <xdr:rowOff>106680</xdr:rowOff>
    </xdr:from>
    <xdr:to>
      <xdr:col>5</xdr:col>
      <xdr:colOff>472440</xdr:colOff>
      <xdr:row>34</xdr:row>
      <xdr:rowOff>56926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0960F28-0F59-CAE9-E60E-3BD1CC344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1020" y="3604260"/>
          <a:ext cx="3992880" cy="2701066"/>
        </a:xfrm>
        <a:prstGeom prst="rect">
          <a:avLst/>
        </a:prstGeom>
      </xdr:spPr>
    </xdr:pic>
    <xdr:clientData/>
  </xdr:twoCellAnchor>
  <xdr:oneCellAnchor>
    <xdr:from>
      <xdr:col>15</xdr:col>
      <xdr:colOff>967740</xdr:colOff>
      <xdr:row>13</xdr:row>
      <xdr:rowOff>118110</xdr:rowOff>
    </xdr:from>
    <xdr:ext cx="1186928" cy="1822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E32EA59-D205-AB5D-AD6E-EE72D092A66E}"/>
                </a:ext>
              </a:extLst>
            </xdr:cNvPr>
            <xdr:cNvSpPr txBox="1"/>
          </xdr:nvSpPr>
          <xdr:spPr>
            <a:xfrm>
              <a:off x="12839700" y="2510790"/>
              <a:ext cx="1186928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𝑒𝑛𝑣𝑒𝑙𝑜𝑝𝑒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+2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𝐶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E32EA59-D205-AB5D-AD6E-EE72D092A66E}"/>
                </a:ext>
              </a:extLst>
            </xdr:cNvPr>
            <xdr:cNvSpPr txBox="1"/>
          </xdr:nvSpPr>
          <xdr:spPr>
            <a:xfrm>
              <a:off x="12839700" y="2510790"/>
              <a:ext cx="1186928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𝐿_𝑒𝑛𝑣𝑒𝑙𝑜𝑝𝑒=𝐷+2𝐶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411480</xdr:colOff>
      <xdr:row>16</xdr:row>
      <xdr:rowOff>160020</xdr:rowOff>
    </xdr:from>
    <xdr:to>
      <xdr:col>4</xdr:col>
      <xdr:colOff>198120</xdr:colOff>
      <xdr:row>30</xdr:row>
      <xdr:rowOff>171450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F9FBC35-5AFC-0E73-8A99-BD3147F57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1480" y="3124200"/>
          <a:ext cx="3048000" cy="2571750"/>
        </a:xfrm>
        <a:prstGeom prst="rect">
          <a:avLst/>
        </a:prstGeom>
      </xdr:spPr>
    </xdr:pic>
    <xdr:clientData/>
  </xdr:twoCellAnchor>
  <xdr:oneCellAnchor>
    <xdr:from>
      <xdr:col>12</xdr:col>
      <xdr:colOff>327660</xdr:colOff>
      <xdr:row>6</xdr:row>
      <xdr:rowOff>41910</xdr:rowOff>
    </xdr:from>
    <xdr:ext cx="1688860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8F78BB5-1203-9155-97F5-D938E997A3AE}"/>
                </a:ext>
              </a:extLst>
            </xdr:cNvPr>
            <xdr:cNvSpPr txBox="1"/>
          </xdr:nvSpPr>
          <xdr:spPr>
            <a:xfrm>
              <a:off x="4198620" y="2632710"/>
              <a:ext cx="1688860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𝑎𝑐𝑐𝑒𝑠𝑠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𝑜𝑣𝑒𝑟𝑓𝑙𝑜𝑤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𝑑𝑒𝑐𝑘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8F78BB5-1203-9155-97F5-D938E997A3AE}"/>
                </a:ext>
              </a:extLst>
            </xdr:cNvPr>
            <xdr:cNvSpPr txBox="1"/>
          </xdr:nvSpPr>
          <xdr:spPr>
            <a:xfrm>
              <a:off x="4198620" y="2632710"/>
              <a:ext cx="1688860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𝐻_𝑎𝑐𝑐𝑒𝑠𝑠=𝑍_𝑜𝑣𝑒𝑟𝑓𝑙𝑜𝑤−𝑍_𝑑𝑒𝑐𝑘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0</xdr:row>
      <xdr:rowOff>137160</xdr:rowOff>
    </xdr:from>
    <xdr:to>
      <xdr:col>11</xdr:col>
      <xdr:colOff>476250</xdr:colOff>
      <xdr:row>18</xdr:row>
      <xdr:rowOff>116205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4957883-21EA-DAA5-A8AB-2495F1BD9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170420" y="137160"/>
          <a:ext cx="3333750" cy="3286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2</xdr:row>
      <xdr:rowOff>177873</xdr:rowOff>
    </xdr:from>
    <xdr:to>
      <xdr:col>12</xdr:col>
      <xdr:colOff>327660</xdr:colOff>
      <xdr:row>20</xdr:row>
      <xdr:rowOff>99060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FF7BB618-D234-990E-950A-CFF7239C6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99660" y="558873"/>
          <a:ext cx="4366260" cy="3243507"/>
        </a:xfrm>
        <a:prstGeom prst="rect">
          <a:avLst/>
        </a:prstGeom>
      </xdr:spPr>
    </xdr:pic>
    <xdr:clientData/>
  </xdr:twoCellAnchor>
  <xdr:twoCellAnchor editAs="oneCell">
    <xdr:from>
      <xdr:col>5</xdr:col>
      <xdr:colOff>251459</xdr:colOff>
      <xdr:row>23</xdr:row>
      <xdr:rowOff>38100</xdr:rowOff>
    </xdr:from>
    <xdr:to>
      <xdr:col>12</xdr:col>
      <xdr:colOff>419100</xdr:colOff>
      <xdr:row>36</xdr:row>
      <xdr:rowOff>137160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6E9D5FF2-E106-E02A-D611-FEA054792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22519" y="4267200"/>
          <a:ext cx="4434841" cy="24841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12</xdr:col>
      <xdr:colOff>472440</xdr:colOff>
      <xdr:row>54</xdr:row>
      <xdr:rowOff>88302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C42889AB-1DE7-A723-B1C2-C5F76361B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671060" y="7391400"/>
          <a:ext cx="4739640" cy="2648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21D2-B2D4-4232-8B4D-82F5578E8BEB}">
  <dimension ref="B3:AE78"/>
  <sheetViews>
    <sheetView zoomScale="55" zoomScaleNormal="55" workbookViewId="0">
      <selection activeCell="N21" sqref="N21"/>
    </sheetView>
  </sheetViews>
  <sheetFormatPr defaultRowHeight="14.4" x14ac:dyDescent="0.3"/>
  <cols>
    <col min="2" max="2" width="23" customWidth="1"/>
    <col min="3" max="3" width="15.77734375" customWidth="1"/>
    <col min="4" max="4" width="13.5546875" bestFit="1" customWidth="1"/>
    <col min="5" max="5" width="11" customWidth="1"/>
    <col min="7" max="7" width="20.77734375" bestFit="1" customWidth="1"/>
    <col min="8" max="8" width="10" bestFit="1" customWidth="1"/>
    <col min="10" max="10" width="21.109375" bestFit="1" customWidth="1"/>
    <col min="11" max="11" width="9.44140625" bestFit="1" customWidth="1"/>
    <col min="19" max="19" width="34.88671875" bestFit="1" customWidth="1"/>
    <col min="20" max="20" width="17.6640625" bestFit="1" customWidth="1"/>
    <col min="23" max="23" width="21.33203125" bestFit="1" customWidth="1"/>
    <col min="24" max="24" width="24.77734375" bestFit="1" customWidth="1"/>
    <col min="25" max="25" width="13.33203125" customWidth="1"/>
  </cols>
  <sheetData>
    <row r="3" spans="2:24" ht="24" thickBot="1" x14ac:dyDescent="0.5">
      <c r="B3" s="11" t="s">
        <v>0</v>
      </c>
    </row>
    <row r="4" spans="2:24" ht="25.8" x14ac:dyDescent="0.5">
      <c r="B4" s="14" t="s">
        <v>1</v>
      </c>
      <c r="C4" s="15" t="s">
        <v>2</v>
      </c>
      <c r="D4" s="16" t="s">
        <v>3</v>
      </c>
      <c r="G4" s="96" t="s">
        <v>55</v>
      </c>
      <c r="H4" s="97"/>
      <c r="J4" s="96" t="s">
        <v>58</v>
      </c>
      <c r="K4" s="97"/>
      <c r="S4" s="89" t="s">
        <v>77</v>
      </c>
      <c r="T4" s="90"/>
      <c r="W4" s="94" t="s">
        <v>108</v>
      </c>
      <c r="X4" s="95"/>
    </row>
    <row r="5" spans="2:24" x14ac:dyDescent="0.3">
      <c r="B5" s="3" t="s">
        <v>4</v>
      </c>
      <c r="C5" t="s">
        <v>5</v>
      </c>
      <c r="D5" s="12" t="s">
        <v>6</v>
      </c>
      <c r="G5" s="3" t="s">
        <v>40</v>
      </c>
      <c r="H5" s="4" t="s">
        <v>41</v>
      </c>
      <c r="J5" s="3" t="s">
        <v>40</v>
      </c>
      <c r="K5" s="4" t="s">
        <v>41</v>
      </c>
      <c r="S5" s="25" t="s">
        <v>78</v>
      </c>
      <c r="T5" s="26" t="s">
        <v>3</v>
      </c>
      <c r="W5" s="25" t="s">
        <v>92</v>
      </c>
      <c r="X5" s="26" t="s">
        <v>93</v>
      </c>
    </row>
    <row r="6" spans="2:24" x14ac:dyDescent="0.3">
      <c r="B6" s="3" t="s">
        <v>7</v>
      </c>
      <c r="C6" t="s">
        <v>8</v>
      </c>
      <c r="D6" s="12" t="s">
        <v>6</v>
      </c>
      <c r="G6" s="3" t="s">
        <v>42</v>
      </c>
      <c r="H6" s="4" t="s">
        <v>43</v>
      </c>
      <c r="J6" s="3" t="s">
        <v>42</v>
      </c>
      <c r="K6" s="4" t="s">
        <v>43</v>
      </c>
      <c r="S6" s="3" t="s">
        <v>79</v>
      </c>
      <c r="T6" s="4" t="s">
        <v>80</v>
      </c>
      <c r="W6" s="3" t="s">
        <v>94</v>
      </c>
      <c r="X6" s="4" t="s">
        <v>95</v>
      </c>
    </row>
    <row r="7" spans="2:24" x14ac:dyDescent="0.3">
      <c r="B7" s="3" t="s">
        <v>9</v>
      </c>
      <c r="C7" t="s">
        <v>10</v>
      </c>
      <c r="D7" s="12" t="s">
        <v>6</v>
      </c>
      <c r="G7" s="3" t="s">
        <v>44</v>
      </c>
      <c r="H7" s="4" t="s">
        <v>45</v>
      </c>
      <c r="J7" s="3" t="s">
        <v>44</v>
      </c>
      <c r="K7" s="4" t="s">
        <v>56</v>
      </c>
      <c r="S7" s="3" t="s">
        <v>81</v>
      </c>
      <c r="T7" s="4" t="s">
        <v>82</v>
      </c>
      <c r="W7" s="3" t="s">
        <v>96</v>
      </c>
      <c r="X7" s="4" t="s">
        <v>97</v>
      </c>
    </row>
    <row r="8" spans="2:24" x14ac:dyDescent="0.3">
      <c r="B8" s="3" t="s">
        <v>11</v>
      </c>
      <c r="C8" t="s">
        <v>12</v>
      </c>
      <c r="D8" s="12" t="s">
        <v>6</v>
      </c>
      <c r="G8" s="3" t="s">
        <v>46</v>
      </c>
      <c r="H8" s="4" t="s">
        <v>47</v>
      </c>
      <c r="J8" s="3" t="s">
        <v>46</v>
      </c>
      <c r="K8" s="4" t="s">
        <v>57</v>
      </c>
      <c r="S8" s="3" t="s">
        <v>83</v>
      </c>
      <c r="T8" s="4" t="s">
        <v>82</v>
      </c>
      <c r="W8" s="3" t="s">
        <v>98</v>
      </c>
      <c r="X8" s="4" t="s">
        <v>99</v>
      </c>
    </row>
    <row r="9" spans="2:24" x14ac:dyDescent="0.3">
      <c r="B9" s="3" t="s">
        <v>13</v>
      </c>
      <c r="C9" t="s">
        <v>14</v>
      </c>
      <c r="D9" s="12" t="s">
        <v>6</v>
      </c>
      <c r="G9" s="3" t="s">
        <v>48</v>
      </c>
      <c r="H9" s="4" t="s">
        <v>5</v>
      </c>
      <c r="J9" s="3" t="s">
        <v>48</v>
      </c>
      <c r="K9" s="4" t="s">
        <v>5</v>
      </c>
      <c r="S9" s="3" t="s">
        <v>84</v>
      </c>
      <c r="T9" s="4" t="s">
        <v>18</v>
      </c>
      <c r="W9" s="3" t="s">
        <v>100</v>
      </c>
      <c r="X9" s="4" t="s">
        <v>101</v>
      </c>
    </row>
    <row r="10" spans="2:24" x14ac:dyDescent="0.3">
      <c r="B10" s="3" t="s">
        <v>15</v>
      </c>
      <c r="C10" t="s">
        <v>14</v>
      </c>
      <c r="D10" s="12" t="s">
        <v>6</v>
      </c>
      <c r="G10" s="3" t="s">
        <v>49</v>
      </c>
      <c r="H10" s="4" t="s">
        <v>50</v>
      </c>
      <c r="J10" s="3" t="s">
        <v>49</v>
      </c>
      <c r="K10" s="4" t="s">
        <v>50</v>
      </c>
      <c r="S10" s="3" t="s">
        <v>85</v>
      </c>
      <c r="T10" s="4" t="s">
        <v>86</v>
      </c>
      <c r="W10" s="3" t="s">
        <v>102</v>
      </c>
      <c r="X10" s="4" t="s">
        <v>103</v>
      </c>
    </row>
    <row r="11" spans="2:24" x14ac:dyDescent="0.3">
      <c r="B11" s="3" t="s">
        <v>16</v>
      </c>
      <c r="C11" t="s">
        <v>17</v>
      </c>
      <c r="D11" s="12" t="s">
        <v>18</v>
      </c>
      <c r="G11" s="3" t="s">
        <v>51</v>
      </c>
      <c r="H11" s="4" t="s">
        <v>52</v>
      </c>
      <c r="J11" s="3" t="s">
        <v>51</v>
      </c>
      <c r="K11" s="4" t="s">
        <v>52</v>
      </c>
      <c r="S11" s="3" t="s">
        <v>87</v>
      </c>
      <c r="T11" s="4" t="s">
        <v>86</v>
      </c>
      <c r="W11" s="3" t="s">
        <v>104</v>
      </c>
      <c r="X11" s="4" t="s">
        <v>105</v>
      </c>
    </row>
    <row r="12" spans="2:24" x14ac:dyDescent="0.3">
      <c r="B12" s="3" t="s">
        <v>19</v>
      </c>
      <c r="C12" t="s">
        <v>20</v>
      </c>
      <c r="D12" s="12" t="s">
        <v>18</v>
      </c>
      <c r="G12" s="3" t="s">
        <v>53</v>
      </c>
      <c r="H12" s="4" t="s">
        <v>54</v>
      </c>
      <c r="J12" s="3" t="s">
        <v>53</v>
      </c>
      <c r="K12" s="4" t="s">
        <v>59</v>
      </c>
      <c r="S12" s="3" t="s">
        <v>88</v>
      </c>
      <c r="T12" s="4" t="s">
        <v>18</v>
      </c>
      <c r="W12" s="3" t="s">
        <v>106</v>
      </c>
      <c r="X12" s="4" t="s">
        <v>107</v>
      </c>
    </row>
    <row r="13" spans="2:24" ht="15" thickBot="1" x14ac:dyDescent="0.35">
      <c r="B13" s="3" t="s">
        <v>21</v>
      </c>
      <c r="C13" t="s">
        <v>22</v>
      </c>
      <c r="D13" s="12" t="s">
        <v>23</v>
      </c>
      <c r="G13" s="5" t="s">
        <v>60</v>
      </c>
      <c r="H13" s="17">
        <v>0.4</v>
      </c>
      <c r="J13" s="5" t="s">
        <v>60</v>
      </c>
      <c r="K13" s="18">
        <v>0.49199999999999999</v>
      </c>
      <c r="S13" s="3" t="s">
        <v>89</v>
      </c>
      <c r="T13" s="4" t="s">
        <v>18</v>
      </c>
      <c r="W13" s="3"/>
      <c r="X13" s="4"/>
    </row>
    <row r="14" spans="2:24" ht="15" thickBot="1" x14ac:dyDescent="0.35">
      <c r="B14" s="3" t="s">
        <v>24</v>
      </c>
      <c r="C14" t="s">
        <v>20</v>
      </c>
      <c r="D14" s="12" t="s">
        <v>18</v>
      </c>
      <c r="S14" s="5" t="s">
        <v>90</v>
      </c>
      <c r="T14" s="7" t="s">
        <v>18</v>
      </c>
      <c r="W14" s="5"/>
      <c r="X14" s="7"/>
    </row>
    <row r="15" spans="2:24" ht="15" thickBot="1" x14ac:dyDescent="0.35">
      <c r="B15" s="5" t="s">
        <v>25</v>
      </c>
      <c r="C15" s="6" t="s">
        <v>20</v>
      </c>
      <c r="D15" s="13" t="s">
        <v>26</v>
      </c>
    </row>
    <row r="19" spans="2:31" ht="15" thickBot="1" x14ac:dyDescent="0.35"/>
    <row r="20" spans="2:31" ht="21" x14ac:dyDescent="0.4">
      <c r="B20" s="9" t="s">
        <v>27</v>
      </c>
      <c r="C20" s="1"/>
      <c r="D20" s="1"/>
      <c r="E20" s="1"/>
      <c r="F20" s="10" t="s">
        <v>61</v>
      </c>
      <c r="G20" s="2"/>
      <c r="J20" s="98" t="s">
        <v>71</v>
      </c>
      <c r="K20" s="99"/>
      <c r="L20" s="99"/>
      <c r="M20" s="99"/>
      <c r="N20" s="100"/>
    </row>
    <row r="21" spans="2:31" ht="21" x14ac:dyDescent="0.4">
      <c r="B21" s="3" t="s">
        <v>28</v>
      </c>
      <c r="G21" s="4"/>
      <c r="J21" s="19" t="s">
        <v>72</v>
      </c>
      <c r="N21" s="4"/>
    </row>
    <row r="22" spans="2:31" x14ac:dyDescent="0.3">
      <c r="B22" s="3"/>
      <c r="G22" s="4"/>
      <c r="J22" s="3"/>
      <c r="N22" s="4"/>
    </row>
    <row r="23" spans="2:31" x14ac:dyDescent="0.3">
      <c r="B23" s="3"/>
      <c r="G23" s="4"/>
      <c r="J23" s="3"/>
      <c r="N23" s="4"/>
    </row>
    <row r="24" spans="2:31" x14ac:dyDescent="0.3">
      <c r="B24" s="3"/>
      <c r="G24" s="4"/>
      <c r="J24" s="3"/>
      <c r="N24" s="4"/>
    </row>
    <row r="25" spans="2:31" x14ac:dyDescent="0.3">
      <c r="B25" s="3"/>
      <c r="G25" s="4"/>
      <c r="J25" s="3"/>
      <c r="N25" s="4"/>
    </row>
    <row r="26" spans="2:31" ht="15" thickBot="1" x14ac:dyDescent="0.35">
      <c r="B26" s="3"/>
      <c r="G26" s="4"/>
      <c r="J26" s="3"/>
      <c r="N26" s="4"/>
    </row>
    <row r="27" spans="2:31" ht="21" x14ac:dyDescent="0.4">
      <c r="B27" s="3" t="s">
        <v>29</v>
      </c>
      <c r="C27" t="s">
        <v>30</v>
      </c>
      <c r="G27" s="4"/>
      <c r="J27" s="3"/>
      <c r="N27" s="4"/>
      <c r="S27" s="24"/>
      <c r="T27" s="24"/>
      <c r="U27" s="24"/>
      <c r="V27" s="24"/>
      <c r="W27" s="24"/>
      <c r="X27" s="24"/>
      <c r="Y27" s="24"/>
      <c r="AB27" s="91" t="s">
        <v>91</v>
      </c>
      <c r="AC27" s="92"/>
      <c r="AD27" s="92"/>
      <c r="AE27" s="93"/>
    </row>
    <row r="28" spans="2:31" x14ac:dyDescent="0.3">
      <c r="B28" s="3" t="s">
        <v>31</v>
      </c>
      <c r="C28" t="s">
        <v>32</v>
      </c>
      <c r="G28" s="4"/>
      <c r="J28" s="3" t="s">
        <v>73</v>
      </c>
      <c r="N28" s="4"/>
      <c r="S28" s="24"/>
      <c r="T28" s="24"/>
      <c r="U28" s="24"/>
      <c r="V28" s="24"/>
      <c r="W28" s="24"/>
      <c r="X28" s="24"/>
      <c r="Y28" s="24"/>
      <c r="AB28" s="3"/>
      <c r="AE28" s="4"/>
    </row>
    <row r="29" spans="2:31" x14ac:dyDescent="0.3">
      <c r="B29" s="3" t="s">
        <v>33</v>
      </c>
      <c r="C29" t="s">
        <v>34</v>
      </c>
      <c r="G29" s="4"/>
      <c r="J29" s="3"/>
      <c r="N29" s="4"/>
      <c r="S29" s="24"/>
      <c r="T29" s="24"/>
      <c r="U29" s="24"/>
      <c r="V29" s="24"/>
      <c r="W29" s="24"/>
      <c r="X29" s="24"/>
      <c r="Y29" s="24"/>
      <c r="AB29" s="3"/>
      <c r="AE29" s="4"/>
    </row>
    <row r="30" spans="2:31" x14ac:dyDescent="0.3">
      <c r="B30" s="3" t="s">
        <v>35</v>
      </c>
      <c r="C30" t="s">
        <v>36</v>
      </c>
      <c r="G30" s="4"/>
      <c r="J30" s="3"/>
      <c r="N30" s="4"/>
      <c r="S30" s="24"/>
      <c r="T30" s="24"/>
      <c r="U30" s="24"/>
      <c r="V30" s="24"/>
      <c r="W30" s="24"/>
      <c r="X30" s="24"/>
      <c r="Y30" s="24"/>
      <c r="AB30" s="3"/>
      <c r="AE30" s="4"/>
    </row>
    <row r="31" spans="2:31" x14ac:dyDescent="0.3">
      <c r="B31" s="3"/>
      <c r="G31" s="4"/>
      <c r="J31" s="3"/>
      <c r="N31" s="4"/>
      <c r="S31" s="24"/>
      <c r="T31" s="24"/>
      <c r="U31" s="24"/>
      <c r="V31" s="24"/>
      <c r="W31" s="24"/>
      <c r="X31" s="24"/>
      <c r="Y31" s="24"/>
      <c r="AB31" s="3"/>
      <c r="AE31" s="4"/>
    </row>
    <row r="32" spans="2:31" x14ac:dyDescent="0.3">
      <c r="B32" s="3"/>
      <c r="G32" s="4"/>
      <c r="J32" s="3"/>
      <c r="N32" s="4"/>
      <c r="S32" s="24"/>
      <c r="T32" s="24"/>
      <c r="U32" s="24"/>
      <c r="V32" s="24"/>
      <c r="W32" s="24"/>
      <c r="X32" s="24"/>
      <c r="Y32" s="24"/>
      <c r="AB32" s="3"/>
      <c r="AE32" s="4"/>
    </row>
    <row r="33" spans="2:31" ht="18" x14ac:dyDescent="0.35">
      <c r="B33" s="8" t="s">
        <v>37</v>
      </c>
      <c r="G33" s="4"/>
      <c r="J33" s="3"/>
      <c r="N33" s="4"/>
      <c r="S33" s="24"/>
      <c r="T33" s="24"/>
      <c r="U33" s="24"/>
      <c r="V33" s="24"/>
      <c r="W33" s="24"/>
      <c r="X33" s="24"/>
      <c r="Y33" s="24"/>
      <c r="AB33" s="3"/>
      <c r="AE33" s="4"/>
    </row>
    <row r="34" spans="2:31" x14ac:dyDescent="0.3">
      <c r="B34" s="3" t="s">
        <v>38</v>
      </c>
      <c r="G34" s="4"/>
      <c r="J34" s="3" t="s">
        <v>74</v>
      </c>
      <c r="N34" s="4"/>
      <c r="S34" s="24"/>
      <c r="T34" s="24"/>
      <c r="U34" s="24"/>
      <c r="V34" s="24"/>
      <c r="W34" s="24"/>
      <c r="X34" s="24"/>
      <c r="Y34" s="24"/>
      <c r="AB34" s="3"/>
      <c r="AE34" s="4"/>
    </row>
    <row r="35" spans="2:31" x14ac:dyDescent="0.3">
      <c r="B35" s="3"/>
      <c r="G35" s="4"/>
      <c r="J35" s="3"/>
      <c r="N35" s="4"/>
      <c r="S35" s="24"/>
      <c r="T35" s="24"/>
      <c r="U35" s="24"/>
      <c r="V35" s="24"/>
      <c r="W35" s="24"/>
      <c r="X35" s="24"/>
      <c r="Y35" s="24"/>
      <c r="AB35" s="3"/>
      <c r="AE35" s="4"/>
    </row>
    <row r="36" spans="2:31" x14ac:dyDescent="0.3">
      <c r="B36" s="3"/>
      <c r="G36" s="4"/>
      <c r="J36" s="3"/>
      <c r="N36" s="4"/>
      <c r="S36" s="24"/>
      <c r="T36" s="24"/>
      <c r="U36" s="24"/>
      <c r="V36" s="24"/>
      <c r="W36" s="24"/>
      <c r="X36" s="24"/>
      <c r="Y36" s="24"/>
      <c r="AB36" s="3"/>
      <c r="AE36" s="4"/>
    </row>
    <row r="37" spans="2:31" x14ac:dyDescent="0.3">
      <c r="B37" s="3"/>
      <c r="G37" s="4"/>
      <c r="J37" s="3"/>
      <c r="N37" s="4"/>
      <c r="S37" s="24"/>
      <c r="T37" s="24"/>
      <c r="U37" s="24"/>
      <c r="V37" s="24"/>
      <c r="W37" s="24"/>
      <c r="X37" s="24"/>
      <c r="Y37" s="24"/>
      <c r="AB37" s="3"/>
      <c r="AE37" s="4"/>
    </row>
    <row r="38" spans="2:31" ht="21" x14ac:dyDescent="0.4">
      <c r="B38" s="3"/>
      <c r="G38" s="4"/>
      <c r="J38" s="19" t="s">
        <v>75</v>
      </c>
      <c r="N38" s="4"/>
      <c r="S38" s="24"/>
      <c r="T38" s="24"/>
      <c r="U38" s="24"/>
      <c r="V38" s="24"/>
      <c r="W38" s="24"/>
      <c r="X38" s="24"/>
      <c r="Y38" s="24"/>
      <c r="AB38" s="3"/>
      <c r="AE38" s="4"/>
    </row>
    <row r="39" spans="2:31" x14ac:dyDescent="0.3">
      <c r="B39" s="3"/>
      <c r="G39" s="4"/>
      <c r="J39" s="3"/>
      <c r="N39" s="4"/>
      <c r="S39" s="24"/>
      <c r="T39" s="24"/>
      <c r="U39" s="24"/>
      <c r="V39" s="24"/>
      <c r="W39" s="24"/>
      <c r="X39" s="24"/>
      <c r="Y39" s="24"/>
      <c r="AB39" s="3"/>
      <c r="AE39" s="4"/>
    </row>
    <row r="40" spans="2:31" x14ac:dyDescent="0.3">
      <c r="B40" s="3"/>
      <c r="G40" s="4"/>
      <c r="J40" s="3"/>
      <c r="N40" s="4"/>
      <c r="S40" s="24"/>
      <c r="T40" s="24"/>
      <c r="U40" s="24"/>
      <c r="V40" s="24"/>
      <c r="W40" s="24"/>
      <c r="X40" s="24"/>
      <c r="Y40" s="24"/>
      <c r="AB40" s="3"/>
      <c r="AE40" s="4"/>
    </row>
    <row r="41" spans="2:31" x14ac:dyDescent="0.3">
      <c r="B41" s="3"/>
      <c r="G41" s="4"/>
      <c r="J41" s="3"/>
      <c r="N41" s="4"/>
      <c r="S41" s="24"/>
      <c r="T41" s="24"/>
      <c r="U41" s="24"/>
      <c r="V41" s="24"/>
      <c r="W41" s="24"/>
      <c r="X41" s="24"/>
      <c r="Y41" s="24"/>
      <c r="AB41" s="3"/>
      <c r="AE41" s="4"/>
    </row>
    <row r="42" spans="2:31" x14ac:dyDescent="0.3">
      <c r="B42" s="3"/>
      <c r="G42" s="4"/>
      <c r="J42" s="3"/>
      <c r="N42" s="4"/>
      <c r="S42" s="24"/>
      <c r="T42" s="24"/>
      <c r="U42" s="24"/>
      <c r="V42" s="24"/>
      <c r="W42" s="24"/>
      <c r="X42" s="24"/>
      <c r="Y42" s="24"/>
      <c r="AB42" s="3"/>
      <c r="AE42" s="4"/>
    </row>
    <row r="43" spans="2:31" x14ac:dyDescent="0.3">
      <c r="B43" s="3"/>
      <c r="G43" s="4"/>
      <c r="J43" s="3"/>
      <c r="N43" s="4"/>
      <c r="S43" s="24"/>
      <c r="T43" s="24"/>
      <c r="U43" s="24"/>
      <c r="V43" s="24"/>
      <c r="W43" s="24"/>
      <c r="X43" s="24"/>
      <c r="Y43" s="24"/>
      <c r="AB43" s="3"/>
      <c r="AE43" s="4"/>
    </row>
    <row r="44" spans="2:31" x14ac:dyDescent="0.3">
      <c r="B44" s="3" t="s">
        <v>39</v>
      </c>
      <c r="G44" s="4"/>
      <c r="J44" s="3"/>
      <c r="N44" s="4"/>
      <c r="S44" s="24"/>
      <c r="T44" s="24"/>
      <c r="U44" s="24"/>
      <c r="V44" s="24"/>
      <c r="W44" s="24"/>
      <c r="X44" s="24"/>
      <c r="Y44" s="24"/>
      <c r="AB44" s="3"/>
      <c r="AE44" s="4"/>
    </row>
    <row r="45" spans="2:31" x14ac:dyDescent="0.3">
      <c r="B45" s="3"/>
      <c r="G45" s="4"/>
      <c r="J45" s="3" t="s">
        <v>73</v>
      </c>
      <c r="N45" s="4"/>
      <c r="S45" s="24"/>
      <c r="T45" s="24"/>
      <c r="U45" s="24"/>
      <c r="V45" s="24"/>
      <c r="W45" s="24"/>
      <c r="X45" s="24"/>
      <c r="Y45" s="24"/>
      <c r="AB45" s="3"/>
      <c r="AE45" s="4"/>
    </row>
    <row r="46" spans="2:31" x14ac:dyDescent="0.3">
      <c r="B46" s="3"/>
      <c r="G46" s="4"/>
      <c r="J46" s="3"/>
      <c r="N46" s="4"/>
      <c r="S46" s="24"/>
      <c r="T46" s="24"/>
      <c r="U46" s="24"/>
      <c r="V46" s="24"/>
      <c r="W46" s="24"/>
      <c r="X46" s="24"/>
      <c r="Y46" s="24"/>
      <c r="AB46" s="3"/>
      <c r="AE46" s="4"/>
    </row>
    <row r="47" spans="2:31" x14ac:dyDescent="0.3">
      <c r="B47" s="3"/>
      <c r="G47" s="4"/>
      <c r="J47" s="3"/>
      <c r="N47" s="4"/>
      <c r="S47" s="24"/>
      <c r="T47" s="24"/>
      <c r="U47" s="24"/>
      <c r="V47" s="24"/>
      <c r="W47" s="24"/>
      <c r="X47" s="24"/>
      <c r="Y47" s="24"/>
      <c r="AB47" s="3"/>
      <c r="AE47" s="4"/>
    </row>
    <row r="48" spans="2:31" x14ac:dyDescent="0.3">
      <c r="B48" s="3"/>
      <c r="G48" s="4"/>
      <c r="J48" s="3"/>
      <c r="N48" s="4"/>
      <c r="S48" s="24"/>
      <c r="T48" s="24"/>
      <c r="U48" s="24"/>
      <c r="V48" s="24"/>
      <c r="W48" s="24"/>
      <c r="X48" s="24"/>
      <c r="Y48" s="24"/>
      <c r="AB48" s="3"/>
      <c r="AE48" s="4"/>
    </row>
    <row r="49" spans="2:31" ht="15" thickBot="1" x14ac:dyDescent="0.35">
      <c r="B49" s="3"/>
      <c r="G49" s="4"/>
      <c r="J49" s="3"/>
      <c r="N49" s="4"/>
      <c r="S49" s="24"/>
      <c r="T49" s="24"/>
      <c r="U49" s="24"/>
      <c r="V49" s="24"/>
      <c r="W49" s="24"/>
      <c r="X49" s="24"/>
      <c r="Y49" s="24"/>
      <c r="AB49" s="5"/>
      <c r="AC49" s="6"/>
      <c r="AD49" s="6"/>
      <c r="AE49" s="7"/>
    </row>
    <row r="50" spans="2:31" x14ac:dyDescent="0.3">
      <c r="B50" s="3"/>
      <c r="G50" s="4"/>
      <c r="J50" s="3"/>
      <c r="N50" s="4"/>
      <c r="S50" s="24"/>
      <c r="T50" s="24"/>
      <c r="U50" s="24"/>
      <c r="V50" s="24"/>
      <c r="W50" s="24"/>
      <c r="X50" s="24"/>
      <c r="Y50" s="24"/>
    </row>
    <row r="51" spans="2:31" ht="15" thickBot="1" x14ac:dyDescent="0.35">
      <c r="B51" s="5"/>
      <c r="C51" s="6"/>
      <c r="D51" s="6"/>
      <c r="E51" s="6"/>
      <c r="F51" s="6"/>
      <c r="G51" s="7"/>
      <c r="J51" s="3" t="s">
        <v>74</v>
      </c>
      <c r="N51" s="4"/>
      <c r="S51" s="24"/>
      <c r="T51" s="24"/>
      <c r="U51" s="24"/>
      <c r="V51" s="24"/>
      <c r="W51" s="24"/>
      <c r="X51" s="24"/>
      <c r="Y51" s="24"/>
    </row>
    <row r="52" spans="2:31" x14ac:dyDescent="0.3">
      <c r="J52" s="3"/>
      <c r="N52" s="4"/>
      <c r="S52" s="24"/>
      <c r="T52" s="24"/>
      <c r="U52" s="24"/>
      <c r="V52" s="24"/>
      <c r="W52" s="24"/>
      <c r="X52" s="24"/>
      <c r="Y52" s="24"/>
    </row>
    <row r="53" spans="2:31" ht="15" thickBot="1" x14ac:dyDescent="0.35">
      <c r="J53" s="5"/>
      <c r="K53" s="6"/>
      <c r="L53" s="6"/>
      <c r="M53" s="6"/>
      <c r="N53" s="7"/>
      <c r="S53" s="24"/>
      <c r="T53" s="24"/>
      <c r="U53" s="24"/>
      <c r="V53" s="24"/>
      <c r="W53" s="24"/>
      <c r="X53" s="24"/>
      <c r="Y53" s="24"/>
    </row>
    <row r="54" spans="2:31" ht="15" thickBot="1" x14ac:dyDescent="0.35">
      <c r="B54" s="20" t="s">
        <v>29</v>
      </c>
      <c r="C54" s="21" t="s">
        <v>62</v>
      </c>
      <c r="D54" s="21" t="s">
        <v>63</v>
      </c>
      <c r="E54" s="22" t="s">
        <v>64</v>
      </c>
      <c r="F54" s="1"/>
      <c r="G54" s="2"/>
      <c r="S54" s="24"/>
      <c r="T54" s="24"/>
      <c r="U54" s="24"/>
      <c r="V54" s="24"/>
      <c r="W54" s="24"/>
      <c r="X54" s="24"/>
      <c r="Y54" s="24"/>
    </row>
    <row r="55" spans="2:31" x14ac:dyDescent="0.3">
      <c r="B55" s="3" t="s">
        <v>31</v>
      </c>
      <c r="C55" t="s">
        <v>65</v>
      </c>
      <c r="D55" t="s">
        <v>68</v>
      </c>
      <c r="E55" s="4">
        <v>1.258</v>
      </c>
      <c r="G55" s="4"/>
      <c r="J55" s="23"/>
      <c r="K55" s="1"/>
      <c r="L55" s="1"/>
      <c r="M55" s="1"/>
      <c r="N55" s="1"/>
      <c r="O55" s="1"/>
      <c r="P55" s="2"/>
      <c r="S55" s="24"/>
      <c r="T55" s="24"/>
      <c r="U55" s="24"/>
      <c r="V55" s="24"/>
      <c r="W55" s="24"/>
      <c r="X55" s="24"/>
      <c r="Y55" s="24"/>
    </row>
    <row r="56" spans="2:31" ht="21" x14ac:dyDescent="0.4">
      <c r="B56" s="3" t="s">
        <v>33</v>
      </c>
      <c r="C56" t="s">
        <v>66</v>
      </c>
      <c r="D56" t="s">
        <v>69</v>
      </c>
      <c r="E56" s="4">
        <v>1.1319999999999999</v>
      </c>
      <c r="G56" s="4"/>
      <c r="J56" s="86" t="s">
        <v>76</v>
      </c>
      <c r="K56" s="87"/>
      <c r="L56" s="87"/>
      <c r="M56" s="87"/>
      <c r="N56" s="87"/>
      <c r="O56" s="87"/>
      <c r="P56" s="88"/>
      <c r="S56" s="24"/>
      <c r="T56" s="24"/>
      <c r="U56" s="24"/>
      <c r="V56" s="24"/>
      <c r="W56" s="24"/>
      <c r="X56" s="24"/>
      <c r="Y56" s="24"/>
    </row>
    <row r="57" spans="2:31" ht="15" thickBot="1" x14ac:dyDescent="0.35">
      <c r="B57" s="5" t="s">
        <v>35</v>
      </c>
      <c r="C57" s="6" t="s">
        <v>67</v>
      </c>
      <c r="D57" s="6" t="s">
        <v>70</v>
      </c>
      <c r="E57" s="7">
        <v>1.0289999999999999</v>
      </c>
      <c r="G57" s="4"/>
      <c r="J57" s="3"/>
      <c r="P57" s="4"/>
      <c r="S57" s="24"/>
      <c r="T57" s="24"/>
      <c r="U57" s="24"/>
      <c r="V57" s="24"/>
      <c r="W57" s="24"/>
      <c r="X57" s="24"/>
      <c r="Y57" s="24"/>
    </row>
    <row r="58" spans="2:31" x14ac:dyDescent="0.3">
      <c r="B58" s="3"/>
      <c r="G58" s="4"/>
      <c r="J58" s="3"/>
      <c r="P58" s="4"/>
      <c r="S58" s="24"/>
      <c r="T58" s="24"/>
      <c r="U58" s="24"/>
      <c r="V58" s="24"/>
      <c r="W58" s="24"/>
      <c r="X58" s="24"/>
      <c r="Y58" s="24"/>
    </row>
    <row r="59" spans="2:31" x14ac:dyDescent="0.3">
      <c r="B59" s="3"/>
      <c r="G59" s="4"/>
      <c r="J59" s="3"/>
      <c r="P59" s="4"/>
    </row>
    <row r="60" spans="2:31" x14ac:dyDescent="0.3">
      <c r="B60" s="3"/>
      <c r="G60" s="4"/>
      <c r="J60" s="3"/>
      <c r="P60" s="4"/>
    </row>
    <row r="61" spans="2:31" x14ac:dyDescent="0.3">
      <c r="B61" s="3"/>
      <c r="G61" s="4"/>
      <c r="J61" s="3"/>
      <c r="P61" s="4"/>
    </row>
    <row r="62" spans="2:31" x14ac:dyDescent="0.3">
      <c r="B62" s="3"/>
      <c r="G62" s="4"/>
      <c r="J62" s="3"/>
      <c r="P62" s="4"/>
    </row>
    <row r="63" spans="2:31" x14ac:dyDescent="0.3">
      <c r="B63" s="3"/>
      <c r="G63" s="4"/>
      <c r="J63" s="3"/>
      <c r="P63" s="4"/>
    </row>
    <row r="64" spans="2:31" x14ac:dyDescent="0.3">
      <c r="B64" s="3"/>
      <c r="G64" s="4"/>
      <c r="J64" s="3"/>
      <c r="P64" s="4"/>
    </row>
    <row r="65" spans="2:16" x14ac:dyDescent="0.3">
      <c r="B65" s="3"/>
      <c r="G65" s="4"/>
      <c r="J65" s="3"/>
      <c r="P65" s="4"/>
    </row>
    <row r="66" spans="2:16" x14ac:dyDescent="0.3">
      <c r="B66" s="3"/>
      <c r="G66" s="4"/>
      <c r="J66" s="3"/>
      <c r="P66" s="4"/>
    </row>
    <row r="67" spans="2:16" x14ac:dyDescent="0.3">
      <c r="B67" s="3"/>
      <c r="G67" s="4"/>
      <c r="J67" s="3"/>
      <c r="P67" s="4"/>
    </row>
    <row r="68" spans="2:16" x14ac:dyDescent="0.3">
      <c r="B68" s="3"/>
      <c r="G68" s="4"/>
      <c r="J68" s="3"/>
      <c r="P68" s="4"/>
    </row>
    <row r="69" spans="2:16" x14ac:dyDescent="0.3">
      <c r="B69" s="3"/>
      <c r="G69" s="4"/>
      <c r="J69" s="3"/>
      <c r="P69" s="4"/>
    </row>
    <row r="70" spans="2:16" x14ac:dyDescent="0.3">
      <c r="B70" s="3"/>
      <c r="G70" s="4"/>
      <c r="J70" s="3"/>
      <c r="P70" s="4"/>
    </row>
    <row r="71" spans="2:16" x14ac:dyDescent="0.3">
      <c r="B71" s="3"/>
      <c r="G71" s="4"/>
      <c r="J71" s="3"/>
      <c r="P71" s="4"/>
    </row>
    <row r="72" spans="2:16" x14ac:dyDescent="0.3">
      <c r="B72" s="3"/>
      <c r="G72" s="4"/>
      <c r="J72" s="3"/>
      <c r="P72" s="4"/>
    </row>
    <row r="73" spans="2:16" ht="15" thickBot="1" x14ac:dyDescent="0.35">
      <c r="B73" s="3"/>
      <c r="G73" s="4"/>
      <c r="J73" s="5"/>
      <c r="K73" s="6"/>
      <c r="L73" s="6"/>
      <c r="M73" s="6"/>
      <c r="N73" s="6"/>
      <c r="O73" s="6"/>
      <c r="P73" s="7"/>
    </row>
    <row r="74" spans="2:16" x14ac:dyDescent="0.3">
      <c r="B74" s="3"/>
      <c r="G74" s="4"/>
    </row>
    <row r="75" spans="2:16" x14ac:dyDescent="0.3">
      <c r="B75" s="3"/>
      <c r="G75" s="4"/>
    </row>
    <row r="76" spans="2:16" x14ac:dyDescent="0.3">
      <c r="B76" s="3"/>
      <c r="G76" s="4"/>
    </row>
    <row r="77" spans="2:16" x14ac:dyDescent="0.3">
      <c r="B77" s="3"/>
      <c r="G77" s="4"/>
    </row>
    <row r="78" spans="2:16" ht="15" thickBot="1" x14ac:dyDescent="0.35">
      <c r="B78" s="5"/>
      <c r="C78" s="6"/>
      <c r="D78" s="6"/>
      <c r="E78" s="6"/>
      <c r="F78" s="6"/>
      <c r="G78" s="7"/>
    </row>
  </sheetData>
  <mergeCells count="7">
    <mergeCell ref="J56:P56"/>
    <mergeCell ref="S4:T4"/>
    <mergeCell ref="AB27:AE27"/>
    <mergeCell ref="W4:X4"/>
    <mergeCell ref="G4:H4"/>
    <mergeCell ref="J4:K4"/>
    <mergeCell ref="J20:N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C3A-D2C6-408A-8148-76CB5DF521F1}">
  <dimension ref="B6:AI98"/>
  <sheetViews>
    <sheetView zoomScale="54" zoomScaleNormal="70" workbookViewId="0">
      <selection activeCell="H17" sqref="H17"/>
    </sheetView>
  </sheetViews>
  <sheetFormatPr defaultRowHeight="14.4" x14ac:dyDescent="0.3"/>
  <cols>
    <col min="3" max="3" width="24.109375" bestFit="1" customWidth="1"/>
    <col min="4" max="4" width="19.44140625" bestFit="1" customWidth="1"/>
    <col min="5" max="5" width="9.44140625" bestFit="1" customWidth="1"/>
    <col min="6" max="6" width="14.109375" bestFit="1" customWidth="1"/>
    <col min="7" max="7" width="9.77734375" bestFit="1" customWidth="1"/>
    <col min="8" max="8" width="18.33203125" bestFit="1" customWidth="1"/>
    <col min="12" max="12" width="24" bestFit="1" customWidth="1"/>
    <col min="14" max="14" width="11" customWidth="1"/>
    <col min="15" max="15" width="14.6640625" bestFit="1" customWidth="1"/>
    <col min="17" max="17" width="11.6640625" bestFit="1" customWidth="1"/>
    <col min="18" max="18" width="18.21875" customWidth="1"/>
    <col min="21" max="21" width="33.6640625" bestFit="1" customWidth="1"/>
    <col min="22" max="22" width="13.44140625" bestFit="1" customWidth="1"/>
    <col min="28" max="28" width="12.88671875" customWidth="1"/>
    <col min="29" max="29" width="11.5546875" customWidth="1"/>
    <col min="30" max="30" width="20.6640625" customWidth="1"/>
    <col min="31" max="31" width="19.109375" bestFit="1" customWidth="1"/>
    <col min="32" max="32" width="26.5546875" bestFit="1" customWidth="1"/>
    <col min="33" max="33" width="14.109375" bestFit="1" customWidth="1"/>
  </cols>
  <sheetData>
    <row r="6" spans="2:18" ht="15" thickBot="1" x14ac:dyDescent="0.35">
      <c r="B6" s="24"/>
      <c r="C6" s="24"/>
      <c r="D6" s="24"/>
      <c r="E6" s="24"/>
      <c r="F6" s="24"/>
    </row>
    <row r="7" spans="2:18" ht="21" x14ac:dyDescent="0.4">
      <c r="B7" s="24"/>
      <c r="C7" s="24"/>
      <c r="D7" s="24"/>
      <c r="E7" s="24"/>
      <c r="F7" s="24"/>
      <c r="L7" s="91" t="s">
        <v>91</v>
      </c>
      <c r="M7" s="92"/>
      <c r="N7" s="92"/>
      <c r="O7" s="93"/>
      <c r="Q7" s="115" t="s">
        <v>109</v>
      </c>
      <c r="R7" s="116"/>
    </row>
    <row r="8" spans="2:18" x14ac:dyDescent="0.3">
      <c r="B8" s="24"/>
      <c r="C8" s="24"/>
      <c r="D8" s="24"/>
      <c r="E8" s="24"/>
      <c r="F8" s="24"/>
      <c r="L8" s="3"/>
      <c r="O8" s="4"/>
      <c r="Q8" s="3" t="s">
        <v>110</v>
      </c>
      <c r="R8" s="4" t="s">
        <v>111</v>
      </c>
    </row>
    <row r="9" spans="2:18" x14ac:dyDescent="0.3">
      <c r="B9" s="24"/>
      <c r="C9" s="24"/>
      <c r="D9" s="24"/>
      <c r="E9" s="24"/>
      <c r="F9" s="24"/>
      <c r="L9" s="3"/>
      <c r="O9" s="4"/>
      <c r="Q9" s="3" t="s">
        <v>112</v>
      </c>
      <c r="R9" s="4" t="s">
        <v>113</v>
      </c>
    </row>
    <row r="10" spans="2:18" x14ac:dyDescent="0.3">
      <c r="B10" s="24"/>
      <c r="C10" s="24"/>
      <c r="D10" s="24"/>
      <c r="E10" s="24"/>
      <c r="F10" s="24"/>
      <c r="L10" s="3"/>
      <c r="O10" s="4"/>
      <c r="Q10" s="3" t="s">
        <v>114</v>
      </c>
      <c r="R10" s="4" t="s">
        <v>115</v>
      </c>
    </row>
    <row r="11" spans="2:18" x14ac:dyDescent="0.3">
      <c r="B11" s="24"/>
      <c r="C11" s="24"/>
      <c r="D11" s="24"/>
      <c r="E11" s="24"/>
      <c r="F11" s="24"/>
      <c r="L11" s="3"/>
      <c r="O11" s="4"/>
      <c r="Q11" s="3" t="s">
        <v>98</v>
      </c>
      <c r="R11" s="4" t="s">
        <v>116</v>
      </c>
    </row>
    <row r="12" spans="2:18" ht="15" thickBot="1" x14ac:dyDescent="0.35">
      <c r="B12" s="24"/>
      <c r="C12" s="24"/>
      <c r="D12" s="24"/>
      <c r="E12" s="24"/>
      <c r="F12" s="24"/>
      <c r="L12" s="3"/>
      <c r="O12" s="4"/>
      <c r="Q12" s="5" t="s">
        <v>117</v>
      </c>
      <c r="R12" s="7" t="s">
        <v>118</v>
      </c>
    </row>
    <row r="13" spans="2:18" x14ac:dyDescent="0.3">
      <c r="B13" s="24"/>
      <c r="C13" s="24"/>
      <c r="D13" s="24"/>
      <c r="E13" s="24"/>
      <c r="F13" s="24"/>
      <c r="L13" s="3"/>
      <c r="O13" s="4"/>
    </row>
    <row r="14" spans="2:18" x14ac:dyDescent="0.3">
      <c r="B14" s="24"/>
      <c r="C14" s="24"/>
      <c r="D14" s="24"/>
      <c r="E14" s="24"/>
      <c r="F14" s="24"/>
      <c r="L14" s="3"/>
      <c r="O14" s="4"/>
    </row>
    <row r="15" spans="2:18" x14ac:dyDescent="0.3">
      <c r="B15" s="24"/>
      <c r="C15" s="24"/>
      <c r="D15" s="24"/>
      <c r="E15" s="24"/>
      <c r="F15" s="24"/>
      <c r="L15" s="3"/>
      <c r="O15" s="4"/>
    </row>
    <row r="16" spans="2:18" x14ac:dyDescent="0.3">
      <c r="B16" s="24"/>
      <c r="C16" s="24"/>
      <c r="D16" s="24"/>
      <c r="E16" s="24"/>
      <c r="F16" s="24"/>
      <c r="L16" s="3"/>
      <c r="O16" s="4"/>
    </row>
    <row r="17" spans="2:15" x14ac:dyDescent="0.3">
      <c r="B17" s="24"/>
      <c r="C17" s="24"/>
      <c r="D17" s="24"/>
      <c r="E17" s="24"/>
      <c r="F17" s="24"/>
      <c r="L17" s="3"/>
      <c r="O17" s="4"/>
    </row>
    <row r="18" spans="2:15" x14ac:dyDescent="0.3">
      <c r="B18" s="24"/>
      <c r="C18" s="24"/>
      <c r="D18" s="24"/>
      <c r="E18" s="24"/>
      <c r="F18" s="24"/>
      <c r="L18" s="3"/>
      <c r="O18" s="4"/>
    </row>
    <row r="19" spans="2:15" x14ac:dyDescent="0.3">
      <c r="B19" s="24"/>
      <c r="C19" s="24"/>
      <c r="D19" s="24"/>
      <c r="E19" s="24"/>
      <c r="F19" s="24"/>
      <c r="L19" s="3"/>
      <c r="O19" s="4"/>
    </row>
    <row r="20" spans="2:15" x14ac:dyDescent="0.3">
      <c r="B20" s="24"/>
      <c r="C20" s="24"/>
      <c r="D20" s="24"/>
      <c r="E20" s="24"/>
      <c r="F20" s="24"/>
      <c r="L20" s="3"/>
      <c r="O20" s="4"/>
    </row>
    <row r="21" spans="2:15" x14ac:dyDescent="0.3">
      <c r="B21" s="24"/>
      <c r="C21" s="24"/>
      <c r="D21" s="24"/>
      <c r="E21" s="24"/>
      <c r="F21" s="24"/>
      <c r="L21" s="3"/>
      <c r="O21" s="4"/>
    </row>
    <row r="22" spans="2:15" x14ac:dyDescent="0.3">
      <c r="B22" s="24"/>
      <c r="C22" s="24"/>
      <c r="D22" s="24"/>
      <c r="E22" s="24"/>
      <c r="F22" s="24"/>
      <c r="L22" s="3"/>
      <c r="O22" s="4"/>
    </row>
    <row r="23" spans="2:15" x14ac:dyDescent="0.3">
      <c r="B23" s="24"/>
      <c r="C23" s="24"/>
      <c r="D23" s="24"/>
      <c r="E23" s="24"/>
      <c r="F23" s="24"/>
      <c r="L23" s="3"/>
      <c r="O23" s="4"/>
    </row>
    <row r="24" spans="2:15" x14ac:dyDescent="0.3">
      <c r="B24" s="24"/>
      <c r="C24" s="24"/>
      <c r="D24" s="24"/>
      <c r="E24" s="24"/>
      <c r="F24" s="24"/>
      <c r="L24" s="3"/>
      <c r="O24" s="4"/>
    </row>
    <row r="25" spans="2:15" x14ac:dyDescent="0.3">
      <c r="B25" s="24"/>
      <c r="C25" s="24"/>
      <c r="D25" s="24"/>
      <c r="E25" s="24"/>
      <c r="F25" s="24"/>
      <c r="L25" s="3"/>
      <c r="O25" s="4"/>
    </row>
    <row r="26" spans="2:15" x14ac:dyDescent="0.3">
      <c r="B26" s="24"/>
      <c r="C26" s="24"/>
      <c r="D26" s="24"/>
      <c r="E26" s="24"/>
      <c r="F26" s="24"/>
      <c r="L26" s="3"/>
      <c r="O26" s="4"/>
    </row>
    <row r="27" spans="2:15" x14ac:dyDescent="0.3">
      <c r="B27" s="24"/>
      <c r="C27" s="24"/>
      <c r="D27" s="24"/>
      <c r="E27" s="24"/>
      <c r="F27" s="24"/>
      <c r="L27" s="3"/>
      <c r="O27" s="4"/>
    </row>
    <row r="28" spans="2:15" x14ac:dyDescent="0.3">
      <c r="B28" s="24"/>
      <c r="C28" s="24"/>
      <c r="D28" s="24"/>
      <c r="E28" s="24"/>
      <c r="F28" s="24"/>
      <c r="L28" s="3"/>
      <c r="O28" s="4"/>
    </row>
    <row r="29" spans="2:15" ht="15" thickBot="1" x14ac:dyDescent="0.35">
      <c r="B29" s="24"/>
      <c r="C29" s="24"/>
      <c r="D29" s="24"/>
      <c r="E29" s="24"/>
      <c r="F29" s="24"/>
      <c r="L29" s="5"/>
      <c r="M29" s="6"/>
      <c r="N29" s="6"/>
      <c r="O29" s="7"/>
    </row>
    <row r="30" spans="2:15" x14ac:dyDescent="0.3">
      <c r="B30" s="24"/>
      <c r="C30" s="24"/>
      <c r="D30" s="24"/>
      <c r="E30" s="24"/>
      <c r="F30" s="24"/>
    </row>
    <row r="31" spans="2:15" x14ac:dyDescent="0.3">
      <c r="B31" s="24"/>
      <c r="C31" s="24"/>
      <c r="D31" s="24"/>
      <c r="E31" s="24"/>
      <c r="F31" s="24"/>
    </row>
    <row r="33" spans="3:35" ht="15" thickBot="1" x14ac:dyDescent="0.35"/>
    <row r="34" spans="3:35" ht="15" thickBot="1" x14ac:dyDescent="0.35">
      <c r="Y34" s="23"/>
      <c r="Z34" s="1"/>
      <c r="AA34" s="1"/>
      <c r="AB34" s="1"/>
      <c r="AC34" s="1"/>
      <c r="AD34" s="1"/>
      <c r="AE34" s="1"/>
      <c r="AF34" s="1"/>
      <c r="AG34" s="1"/>
      <c r="AH34" s="1"/>
      <c r="AI34" s="2"/>
    </row>
    <row r="35" spans="3:35" x14ac:dyDescent="0.3">
      <c r="C35" s="14" t="s">
        <v>40</v>
      </c>
      <c r="D35" s="15" t="s">
        <v>119</v>
      </c>
      <c r="E35" s="27" t="s">
        <v>120</v>
      </c>
      <c r="F35" s="28" t="s">
        <v>121</v>
      </c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Y35" s="3"/>
      <c r="Z35" s="109" t="s">
        <v>208</v>
      </c>
      <c r="AA35" s="110"/>
      <c r="AB35" s="111"/>
      <c r="AD35" s="109" t="s">
        <v>210</v>
      </c>
      <c r="AE35" s="110"/>
      <c r="AF35" s="111"/>
      <c r="AI35" s="4"/>
    </row>
    <row r="36" spans="3:35" ht="15" thickBot="1" x14ac:dyDescent="0.35">
      <c r="C36" s="3" t="s">
        <v>122</v>
      </c>
      <c r="D36" t="s">
        <v>123</v>
      </c>
      <c r="E36" s="29" t="s">
        <v>124</v>
      </c>
      <c r="F36" s="4" t="s">
        <v>86</v>
      </c>
      <c r="J36" s="3"/>
      <c r="W36" s="4"/>
      <c r="Y36" s="3"/>
      <c r="Z36" s="3"/>
      <c r="AB36" s="4"/>
      <c r="AD36" s="3"/>
      <c r="AF36" s="4"/>
      <c r="AI36" s="4"/>
    </row>
    <row r="37" spans="3:35" x14ac:dyDescent="0.3">
      <c r="C37" s="3" t="s">
        <v>125</v>
      </c>
      <c r="D37" t="s">
        <v>126</v>
      </c>
      <c r="E37" s="29">
        <v>1.5</v>
      </c>
      <c r="F37" s="4" t="s">
        <v>127</v>
      </c>
      <c r="J37" s="3"/>
      <c r="L37" s="32" t="s">
        <v>40</v>
      </c>
      <c r="M37" s="33" t="s">
        <v>119</v>
      </c>
      <c r="N37" s="33" t="s">
        <v>161</v>
      </c>
      <c r="O37" s="34" t="s">
        <v>121</v>
      </c>
      <c r="W37" s="4"/>
      <c r="Y37" s="3"/>
      <c r="Z37" s="3"/>
      <c r="AB37" s="4"/>
      <c r="AD37" s="39" t="s">
        <v>211</v>
      </c>
      <c r="AE37" s="40" t="s">
        <v>212</v>
      </c>
      <c r="AF37" s="12" t="s">
        <v>213</v>
      </c>
      <c r="AI37" s="4"/>
    </row>
    <row r="38" spans="3:35" x14ac:dyDescent="0.3">
      <c r="C38" s="3" t="s">
        <v>128</v>
      </c>
      <c r="D38" t="s">
        <v>129</v>
      </c>
      <c r="E38" s="29" t="s">
        <v>130</v>
      </c>
      <c r="F38" s="4" t="s">
        <v>131</v>
      </c>
      <c r="J38" s="3"/>
      <c r="L38" s="3" t="s">
        <v>162</v>
      </c>
      <c r="N38" t="s">
        <v>170</v>
      </c>
      <c r="O38" s="12" t="s">
        <v>127</v>
      </c>
      <c r="W38" s="4"/>
      <c r="Y38" s="3"/>
      <c r="Z38" s="3"/>
      <c r="AB38" s="4"/>
      <c r="AD38" s="39" t="s">
        <v>214</v>
      </c>
      <c r="AE38" s="40" t="s">
        <v>215</v>
      </c>
      <c r="AF38" s="12" t="s">
        <v>216</v>
      </c>
      <c r="AI38" s="4"/>
    </row>
    <row r="39" spans="3:35" x14ac:dyDescent="0.3">
      <c r="C39" s="3" t="s">
        <v>132</v>
      </c>
      <c r="D39" t="s">
        <v>133</v>
      </c>
      <c r="E39" s="29">
        <v>0.03</v>
      </c>
      <c r="F39" s="4" t="s">
        <v>131</v>
      </c>
      <c r="J39" s="3"/>
      <c r="L39" s="3" t="s">
        <v>163</v>
      </c>
      <c r="N39" t="s">
        <v>171</v>
      </c>
      <c r="O39" s="12" t="s">
        <v>164</v>
      </c>
      <c r="W39" s="4"/>
      <c r="Y39" s="3"/>
      <c r="Z39" s="3"/>
      <c r="AB39" s="4"/>
      <c r="AD39" s="39" t="s">
        <v>217</v>
      </c>
      <c r="AE39" s="40" t="s">
        <v>218</v>
      </c>
      <c r="AF39" s="12" t="s">
        <v>219</v>
      </c>
      <c r="AI39" s="4"/>
    </row>
    <row r="40" spans="3:35" x14ac:dyDescent="0.3">
      <c r="C40" s="3" t="s">
        <v>134</v>
      </c>
      <c r="D40" t="s">
        <v>135</v>
      </c>
      <c r="E40" s="29">
        <v>4</v>
      </c>
      <c r="F40" s="4" t="s">
        <v>131</v>
      </c>
      <c r="J40" s="3"/>
      <c r="L40" s="3" t="s">
        <v>165</v>
      </c>
      <c r="N40" t="s">
        <v>172</v>
      </c>
      <c r="O40" s="12" t="s">
        <v>164</v>
      </c>
      <c r="W40" s="4"/>
      <c r="Y40" s="3"/>
      <c r="Z40" s="3"/>
      <c r="AB40" s="4"/>
      <c r="AD40" s="39" t="s">
        <v>220</v>
      </c>
      <c r="AE40" s="40" t="s">
        <v>221</v>
      </c>
      <c r="AF40" s="12" t="s">
        <v>222</v>
      </c>
      <c r="AI40" s="4"/>
    </row>
    <row r="41" spans="3:35" ht="15" thickBot="1" x14ac:dyDescent="0.35">
      <c r="C41" s="3" t="s">
        <v>136</v>
      </c>
      <c r="D41" t="s">
        <v>137</v>
      </c>
      <c r="E41" s="29" t="s">
        <v>138</v>
      </c>
      <c r="F41" s="4" t="s">
        <v>139</v>
      </c>
      <c r="J41" s="3"/>
      <c r="L41" s="3" t="s">
        <v>166</v>
      </c>
      <c r="N41" t="s">
        <v>173</v>
      </c>
      <c r="O41" s="12" t="s">
        <v>6</v>
      </c>
      <c r="W41" s="4"/>
      <c r="Y41" s="3"/>
      <c r="Z41" s="3" t="s">
        <v>209</v>
      </c>
      <c r="AB41" s="4"/>
      <c r="AD41" s="41" t="s">
        <v>223</v>
      </c>
      <c r="AE41" s="42" t="s">
        <v>224</v>
      </c>
      <c r="AF41" s="13" t="s">
        <v>225</v>
      </c>
      <c r="AI41" s="4"/>
    </row>
    <row r="42" spans="3:35" x14ac:dyDescent="0.3">
      <c r="C42" s="3" t="s">
        <v>140</v>
      </c>
      <c r="D42" t="s">
        <v>141</v>
      </c>
      <c r="E42" s="29" t="s">
        <v>142</v>
      </c>
      <c r="F42" s="4" t="s">
        <v>131</v>
      </c>
      <c r="J42" s="3"/>
      <c r="L42" s="3" t="s">
        <v>167</v>
      </c>
      <c r="N42" t="s">
        <v>33</v>
      </c>
      <c r="O42" s="12" t="s">
        <v>127</v>
      </c>
      <c r="W42" s="4"/>
      <c r="Y42" s="3"/>
      <c r="Z42" s="3"/>
      <c r="AB42" s="4"/>
      <c r="AI42" s="4"/>
    </row>
    <row r="43" spans="3:35" ht="15" thickBot="1" x14ac:dyDescent="0.35">
      <c r="C43" s="5" t="s">
        <v>143</v>
      </c>
      <c r="D43" s="6" t="s">
        <v>144</v>
      </c>
      <c r="E43" s="30"/>
      <c r="F43" s="7" t="s">
        <v>18</v>
      </c>
      <c r="J43" s="3"/>
      <c r="L43" s="5" t="s">
        <v>168</v>
      </c>
      <c r="M43" s="6"/>
      <c r="N43" s="6" t="s">
        <v>69</v>
      </c>
      <c r="O43" s="13" t="s">
        <v>169</v>
      </c>
      <c r="W43" s="4"/>
      <c r="Y43" s="3"/>
      <c r="Z43" s="3"/>
      <c r="AB43" s="4"/>
      <c r="AI43" s="4"/>
    </row>
    <row r="44" spans="3:35" ht="15" thickBot="1" x14ac:dyDescent="0.35">
      <c r="J44" s="3"/>
      <c r="W44" s="4"/>
      <c r="Y44" s="3"/>
      <c r="Z44" s="5"/>
      <c r="AA44" s="6"/>
      <c r="AB44" s="7"/>
      <c r="AI44" s="4"/>
    </row>
    <row r="45" spans="3:35" ht="15" thickBot="1" x14ac:dyDescent="0.35">
      <c r="J45" s="3"/>
      <c r="W45" s="4"/>
      <c r="Y45" s="3"/>
      <c r="AI45" s="4"/>
    </row>
    <row r="46" spans="3:35" ht="15" thickBot="1" x14ac:dyDescent="0.35">
      <c r="J46" s="3"/>
      <c r="L46" s="107" t="s">
        <v>174</v>
      </c>
      <c r="M46" s="117"/>
      <c r="N46" s="117"/>
      <c r="O46" s="108"/>
      <c r="W46" s="4"/>
      <c r="Y46" s="3"/>
      <c r="AI46" s="4"/>
    </row>
    <row r="47" spans="3:35" ht="21" x14ac:dyDescent="0.4">
      <c r="C47" s="31" t="s">
        <v>143</v>
      </c>
      <c r="J47" s="3"/>
      <c r="L47" s="3"/>
      <c r="O47" s="4"/>
      <c r="W47" s="4"/>
      <c r="Y47" s="3"/>
      <c r="Z47" s="109" t="s">
        <v>226</v>
      </c>
      <c r="AA47" s="110"/>
      <c r="AB47" s="111"/>
      <c r="AD47" s="43" t="s">
        <v>228</v>
      </c>
      <c r="AE47" s="44" t="s">
        <v>229</v>
      </c>
      <c r="AF47" s="44" t="s">
        <v>176</v>
      </c>
      <c r="AG47" s="45" t="s">
        <v>230</v>
      </c>
      <c r="AI47" s="4"/>
    </row>
    <row r="48" spans="3:35" ht="15" thickBot="1" x14ac:dyDescent="0.35">
      <c r="J48" s="3"/>
      <c r="L48" s="3"/>
      <c r="O48" s="4"/>
      <c r="W48" s="4"/>
      <c r="Y48" s="3"/>
      <c r="Z48" s="3"/>
      <c r="AB48" s="4"/>
      <c r="AD48" s="3" t="s">
        <v>231</v>
      </c>
      <c r="AE48" t="s">
        <v>232</v>
      </c>
      <c r="AF48" t="s">
        <v>233</v>
      </c>
      <c r="AG48" s="4" t="s">
        <v>234</v>
      </c>
      <c r="AI48" s="4"/>
    </row>
    <row r="49" spans="6:35" x14ac:dyDescent="0.3">
      <c r="F49" s="107" t="s">
        <v>145</v>
      </c>
      <c r="G49" s="117"/>
      <c r="H49" s="108"/>
      <c r="J49" s="3"/>
      <c r="L49" s="3"/>
      <c r="O49" s="4"/>
      <c r="W49" s="4"/>
      <c r="Y49" s="3"/>
      <c r="Z49" s="3"/>
      <c r="AB49" s="4"/>
      <c r="AD49" s="3" t="s">
        <v>235</v>
      </c>
      <c r="AE49" t="s">
        <v>236</v>
      </c>
      <c r="AF49" t="s">
        <v>233</v>
      </c>
      <c r="AG49" s="4" t="s">
        <v>237</v>
      </c>
      <c r="AI49" s="4"/>
    </row>
    <row r="50" spans="6:35" ht="15" thickBot="1" x14ac:dyDescent="0.35">
      <c r="F50" s="35" t="s">
        <v>146</v>
      </c>
      <c r="G50" s="36" t="s">
        <v>147</v>
      </c>
      <c r="H50" s="37" t="s">
        <v>148</v>
      </c>
      <c r="J50" s="3"/>
      <c r="L50" s="3"/>
      <c r="O50" s="4"/>
      <c r="W50" s="4"/>
      <c r="Y50" s="3"/>
      <c r="Z50" s="3"/>
      <c r="AB50" s="4"/>
      <c r="AD50" s="5" t="s">
        <v>238</v>
      </c>
      <c r="AE50" s="6" t="s">
        <v>234</v>
      </c>
      <c r="AF50" s="6" t="s">
        <v>233</v>
      </c>
      <c r="AG50" s="7" t="s">
        <v>239</v>
      </c>
      <c r="AI50" s="4"/>
    </row>
    <row r="51" spans="6:35" x14ac:dyDescent="0.3">
      <c r="F51" s="3" t="s">
        <v>149</v>
      </c>
      <c r="G51" t="s">
        <v>153</v>
      </c>
      <c r="H51" s="12" t="s">
        <v>157</v>
      </c>
      <c r="J51" s="3"/>
      <c r="L51" s="3"/>
      <c r="O51" s="4"/>
      <c r="W51" s="4"/>
      <c r="Y51" s="3"/>
      <c r="Z51" s="3"/>
      <c r="AB51" s="4"/>
      <c r="AI51" s="4"/>
    </row>
    <row r="52" spans="6:35" x14ac:dyDescent="0.3">
      <c r="F52" s="3" t="s">
        <v>150</v>
      </c>
      <c r="G52" t="s">
        <v>154</v>
      </c>
      <c r="H52" s="12" t="s">
        <v>158</v>
      </c>
      <c r="J52" s="3"/>
      <c r="L52" s="3"/>
      <c r="O52" s="4"/>
      <c r="W52" s="4"/>
      <c r="Y52" s="3"/>
      <c r="Z52" s="3" t="s">
        <v>227</v>
      </c>
      <c r="AB52" s="4"/>
      <c r="AI52" s="4"/>
    </row>
    <row r="53" spans="6:35" x14ac:dyDescent="0.3">
      <c r="F53" s="3" t="s">
        <v>151</v>
      </c>
      <c r="G53" t="s">
        <v>155</v>
      </c>
      <c r="H53" s="12" t="s">
        <v>159</v>
      </c>
      <c r="J53" s="3"/>
      <c r="L53" s="3"/>
      <c r="O53" s="4"/>
      <c r="W53" s="4"/>
      <c r="Y53" s="3"/>
      <c r="Z53" s="3"/>
      <c r="AB53" s="4"/>
      <c r="AI53" s="4"/>
    </row>
    <row r="54" spans="6:35" ht="15" thickBot="1" x14ac:dyDescent="0.35">
      <c r="F54" s="5" t="s">
        <v>152</v>
      </c>
      <c r="G54" s="6" t="s">
        <v>156</v>
      </c>
      <c r="H54" s="13" t="s">
        <v>160</v>
      </c>
      <c r="J54" s="3"/>
      <c r="L54" s="3"/>
      <c r="O54" s="4"/>
      <c r="W54" s="4"/>
      <c r="Y54" s="3"/>
      <c r="Z54" s="3"/>
      <c r="AB54" s="4"/>
      <c r="AI54" s="4"/>
    </row>
    <row r="55" spans="6:35" x14ac:dyDescent="0.3">
      <c r="J55" s="3"/>
      <c r="L55" s="3"/>
      <c r="O55" s="4"/>
      <c r="W55" s="4"/>
      <c r="Y55" s="3"/>
      <c r="Z55" s="3"/>
      <c r="AB55" s="4"/>
      <c r="AI55" s="4"/>
    </row>
    <row r="56" spans="6:35" x14ac:dyDescent="0.3">
      <c r="J56" s="3"/>
      <c r="L56" s="3"/>
      <c r="O56" s="4"/>
      <c r="W56" s="4"/>
      <c r="Y56" s="3"/>
      <c r="Z56" s="3"/>
      <c r="AB56" s="4"/>
      <c r="AI56" s="4"/>
    </row>
    <row r="57" spans="6:35" ht="15" thickBot="1" x14ac:dyDescent="0.35">
      <c r="J57" s="3"/>
      <c r="L57" s="3"/>
      <c r="O57" s="4"/>
      <c r="W57" s="4"/>
      <c r="Y57" s="3"/>
      <c r="Z57" s="5"/>
      <c r="AA57" s="6"/>
      <c r="AB57" s="7"/>
      <c r="AI57" s="4"/>
    </row>
    <row r="58" spans="6:35" ht="15" thickBot="1" x14ac:dyDescent="0.35">
      <c r="J58" s="3"/>
      <c r="L58" s="5"/>
      <c r="M58" s="6"/>
      <c r="N58" s="6"/>
      <c r="O58" s="7"/>
      <c r="W58" s="4"/>
      <c r="Y58" s="3"/>
      <c r="AI58" s="4"/>
    </row>
    <row r="59" spans="6:35" x14ac:dyDescent="0.3">
      <c r="J59" s="3"/>
      <c r="W59" s="4"/>
      <c r="Y59" s="3"/>
      <c r="AI59" s="4"/>
    </row>
    <row r="60" spans="6:35" ht="15" thickBot="1" x14ac:dyDescent="0.35">
      <c r="J60" s="3"/>
      <c r="W60" s="4"/>
      <c r="Y60" s="3"/>
      <c r="AI60" s="4"/>
    </row>
    <row r="61" spans="6:35" x14ac:dyDescent="0.3">
      <c r="J61" s="3"/>
      <c r="L61" s="107" t="s">
        <v>175</v>
      </c>
      <c r="M61" s="117"/>
      <c r="N61" s="117"/>
      <c r="O61" s="108"/>
      <c r="Q61" s="107" t="s">
        <v>181</v>
      </c>
      <c r="R61" s="117"/>
      <c r="S61" s="108"/>
      <c r="U61" s="107" t="s">
        <v>186</v>
      </c>
      <c r="V61" s="108"/>
      <c r="W61" s="4"/>
      <c r="Y61" s="3"/>
      <c r="AI61" s="4"/>
    </row>
    <row r="62" spans="6:35" x14ac:dyDescent="0.3">
      <c r="J62" s="3"/>
      <c r="L62" s="3"/>
      <c r="O62" s="4"/>
      <c r="Q62" s="3"/>
      <c r="S62" s="4"/>
      <c r="U62" s="3"/>
      <c r="V62" s="4"/>
      <c r="W62" s="4"/>
      <c r="Y62" s="3"/>
      <c r="AI62" s="4"/>
    </row>
    <row r="63" spans="6:35" x14ac:dyDescent="0.3">
      <c r="J63" s="3"/>
      <c r="L63" s="3" t="s">
        <v>176</v>
      </c>
      <c r="O63" s="4"/>
      <c r="Q63" s="3" t="s">
        <v>182</v>
      </c>
      <c r="S63" s="4"/>
      <c r="U63" s="35" t="s">
        <v>40</v>
      </c>
      <c r="V63" s="38" t="s">
        <v>187</v>
      </c>
      <c r="W63" s="4"/>
      <c r="Y63" s="3"/>
      <c r="AI63" s="4"/>
    </row>
    <row r="64" spans="6:35" x14ac:dyDescent="0.3">
      <c r="J64" s="3"/>
      <c r="L64" s="3"/>
      <c r="O64" s="4"/>
      <c r="Q64" s="3"/>
      <c r="S64" s="4"/>
      <c r="U64" s="3" t="s">
        <v>188</v>
      </c>
      <c r="V64" s="4" t="s">
        <v>197</v>
      </c>
      <c r="W64" s="4"/>
      <c r="Y64" s="3"/>
      <c r="AI64" s="4"/>
    </row>
    <row r="65" spans="10:35" ht="15" thickBot="1" x14ac:dyDescent="0.35">
      <c r="J65" s="3"/>
      <c r="L65" s="3"/>
      <c r="O65" s="4"/>
      <c r="Q65" s="3"/>
      <c r="S65" s="4"/>
      <c r="U65" s="3" t="s">
        <v>163</v>
      </c>
      <c r="V65" s="4" t="s">
        <v>198</v>
      </c>
      <c r="W65" s="4"/>
      <c r="Y65" s="3"/>
      <c r="AI65" s="4"/>
    </row>
    <row r="66" spans="10:35" x14ac:dyDescent="0.3">
      <c r="J66" s="3"/>
      <c r="L66" s="3"/>
      <c r="O66" s="4"/>
      <c r="Q66" s="3"/>
      <c r="S66" s="4"/>
      <c r="U66" s="3" t="s">
        <v>165</v>
      </c>
      <c r="V66" s="4" t="s">
        <v>199</v>
      </c>
      <c r="W66" s="4"/>
      <c r="Y66" s="3"/>
      <c r="Z66" s="112" t="s">
        <v>240</v>
      </c>
      <c r="AA66" s="113"/>
      <c r="AB66" s="113"/>
      <c r="AC66" s="114"/>
      <c r="AI66" s="4"/>
    </row>
    <row r="67" spans="10:35" x14ac:dyDescent="0.3">
      <c r="J67" s="3"/>
      <c r="L67" s="3"/>
      <c r="O67" s="4"/>
      <c r="Q67" s="3"/>
      <c r="S67" s="4"/>
      <c r="U67" s="3" t="s">
        <v>189</v>
      </c>
      <c r="V67" s="4" t="s">
        <v>200</v>
      </c>
      <c r="W67" s="4"/>
      <c r="Y67" s="3"/>
      <c r="Z67" s="3"/>
      <c r="AC67" s="4"/>
      <c r="AI67" s="4"/>
    </row>
    <row r="68" spans="10:35" x14ac:dyDescent="0.3">
      <c r="J68" s="3"/>
      <c r="L68" s="3" t="s">
        <v>177</v>
      </c>
      <c r="O68" s="4"/>
      <c r="Q68" s="3"/>
      <c r="S68" s="4"/>
      <c r="U68" s="3" t="s">
        <v>190</v>
      </c>
      <c r="V68" s="4" t="s">
        <v>201</v>
      </c>
      <c r="W68" s="4"/>
      <c r="Y68" s="3"/>
      <c r="Z68" s="3" t="s">
        <v>241</v>
      </c>
      <c r="AC68" s="4"/>
      <c r="AI68" s="4"/>
    </row>
    <row r="69" spans="10:35" x14ac:dyDescent="0.3">
      <c r="J69" s="3"/>
      <c r="L69" s="3"/>
      <c r="O69" s="4"/>
      <c r="Q69" s="3"/>
      <c r="S69" s="4"/>
      <c r="U69" s="3" t="s">
        <v>191</v>
      </c>
      <c r="V69" s="4" t="s">
        <v>202</v>
      </c>
      <c r="W69" s="4"/>
      <c r="Y69" s="3"/>
      <c r="Z69" s="3"/>
      <c r="AC69" s="4"/>
      <c r="AI69" s="4"/>
    </row>
    <row r="70" spans="10:35" x14ac:dyDescent="0.3">
      <c r="J70" s="3"/>
      <c r="L70" s="3"/>
      <c r="O70" s="4"/>
      <c r="Q70" s="3"/>
      <c r="S70" s="4"/>
      <c r="U70" s="3" t="s">
        <v>192</v>
      </c>
      <c r="V70" s="4" t="s">
        <v>203</v>
      </c>
      <c r="W70" s="4"/>
      <c r="Y70" s="3"/>
      <c r="Z70" s="3"/>
      <c r="AC70" s="4"/>
      <c r="AI70" s="4"/>
    </row>
    <row r="71" spans="10:35" x14ac:dyDescent="0.3">
      <c r="J71" s="3"/>
      <c r="L71" s="3"/>
      <c r="O71" s="4"/>
      <c r="Q71" s="3" t="s">
        <v>183</v>
      </c>
      <c r="S71" s="4"/>
      <c r="U71" s="3" t="s">
        <v>193</v>
      </c>
      <c r="V71" s="4" t="s">
        <v>204</v>
      </c>
      <c r="W71" s="4"/>
      <c r="Y71" s="3"/>
      <c r="Z71" s="3"/>
      <c r="AC71" s="4"/>
      <c r="AI71" s="4"/>
    </row>
    <row r="72" spans="10:35" x14ac:dyDescent="0.3">
      <c r="J72" s="3"/>
      <c r="L72" s="3"/>
      <c r="O72" s="4"/>
      <c r="Q72" s="3"/>
      <c r="S72" s="4"/>
      <c r="U72" s="3" t="s">
        <v>194</v>
      </c>
      <c r="V72" s="4" t="s">
        <v>205</v>
      </c>
      <c r="W72" s="4"/>
      <c r="Y72" s="3"/>
      <c r="Z72" s="3"/>
      <c r="AC72" s="4"/>
      <c r="AI72" s="4"/>
    </row>
    <row r="73" spans="10:35" x14ac:dyDescent="0.3">
      <c r="J73" s="3"/>
      <c r="L73" s="3"/>
      <c r="O73" s="4"/>
      <c r="Q73" s="3"/>
      <c r="S73" s="4"/>
      <c r="U73" s="3" t="s">
        <v>195</v>
      </c>
      <c r="V73" s="4" t="s">
        <v>206</v>
      </c>
      <c r="W73" s="4"/>
      <c r="Y73" s="3"/>
      <c r="Z73" s="3" t="s">
        <v>242</v>
      </c>
      <c r="AC73" s="4"/>
      <c r="AI73" s="4"/>
    </row>
    <row r="74" spans="10:35" ht="15" thickBot="1" x14ac:dyDescent="0.35">
      <c r="J74" s="3"/>
      <c r="L74" s="3"/>
      <c r="O74" s="4"/>
      <c r="Q74" s="3"/>
      <c r="S74" s="4"/>
      <c r="U74" s="5" t="s">
        <v>196</v>
      </c>
      <c r="V74" s="7" t="s">
        <v>207</v>
      </c>
      <c r="W74" s="4"/>
      <c r="Y74" s="3"/>
      <c r="Z74" s="3"/>
      <c r="AC74" s="4"/>
      <c r="AI74" s="4"/>
    </row>
    <row r="75" spans="10:35" x14ac:dyDescent="0.3">
      <c r="J75" s="3"/>
      <c r="L75" s="3"/>
      <c r="O75" s="4"/>
      <c r="Q75" s="3"/>
      <c r="S75" s="4"/>
      <c r="W75" s="4"/>
      <c r="Y75" s="3"/>
      <c r="Z75" s="3"/>
      <c r="AC75" s="4"/>
      <c r="AI75" s="4"/>
    </row>
    <row r="76" spans="10:35" x14ac:dyDescent="0.3">
      <c r="J76" s="3"/>
      <c r="L76" s="3" t="s">
        <v>178</v>
      </c>
      <c r="O76" s="4"/>
      <c r="Q76" s="3" t="s">
        <v>184</v>
      </c>
      <c r="S76" s="4"/>
      <c r="W76" s="4"/>
      <c r="Y76" s="3"/>
      <c r="Z76" s="3"/>
      <c r="AC76" s="4"/>
      <c r="AI76" s="4"/>
    </row>
    <row r="77" spans="10:35" ht="15" thickBot="1" x14ac:dyDescent="0.35">
      <c r="J77" s="3"/>
      <c r="L77" s="3"/>
      <c r="O77" s="4"/>
      <c r="Q77" s="3"/>
      <c r="S77" s="4"/>
      <c r="W77" s="4"/>
      <c r="Y77" s="3"/>
      <c r="Z77" s="5"/>
      <c r="AA77" s="6"/>
      <c r="AB77" s="6"/>
      <c r="AC77" s="7"/>
      <c r="AI77" s="4"/>
    </row>
    <row r="78" spans="10:35" x14ac:dyDescent="0.3">
      <c r="J78" s="3"/>
      <c r="L78" s="3"/>
      <c r="O78" s="4"/>
      <c r="Q78" s="3"/>
      <c r="S78" s="4"/>
      <c r="W78" s="4"/>
      <c r="Y78" s="3"/>
      <c r="AI78" s="4"/>
    </row>
    <row r="79" spans="10:35" x14ac:dyDescent="0.3">
      <c r="J79" s="3"/>
      <c r="L79" s="3"/>
      <c r="O79" s="4"/>
      <c r="Q79" s="3"/>
      <c r="S79" s="4"/>
      <c r="W79" s="4"/>
      <c r="Y79" s="3"/>
      <c r="AI79" s="4"/>
    </row>
    <row r="80" spans="10:35" ht="15" thickBot="1" x14ac:dyDescent="0.35">
      <c r="J80" s="3"/>
      <c r="L80" s="3"/>
      <c r="O80" s="4"/>
      <c r="Q80" s="3"/>
      <c r="S80" s="4"/>
      <c r="W80" s="4"/>
      <c r="Y80" s="3"/>
      <c r="AI80" s="4"/>
    </row>
    <row r="81" spans="10:35" x14ac:dyDescent="0.3">
      <c r="J81" s="3"/>
      <c r="L81" s="3"/>
      <c r="O81" s="4"/>
      <c r="Q81" s="3"/>
      <c r="S81" s="4"/>
      <c r="W81" s="4"/>
      <c r="Y81" s="3"/>
      <c r="Z81" s="112" t="s">
        <v>243</v>
      </c>
      <c r="AA81" s="113"/>
      <c r="AB81" s="113" t="s">
        <v>244</v>
      </c>
      <c r="AC81" s="114"/>
      <c r="AI81" s="4"/>
    </row>
    <row r="82" spans="10:35" x14ac:dyDescent="0.3">
      <c r="J82" s="3"/>
      <c r="L82" s="3"/>
      <c r="O82" s="4"/>
      <c r="Q82" s="3"/>
      <c r="S82" s="4"/>
      <c r="W82" s="4"/>
      <c r="Y82" s="3"/>
      <c r="Z82" s="105" t="s">
        <v>149</v>
      </c>
      <c r="AA82" s="101"/>
      <c r="AB82" s="101" t="s">
        <v>246</v>
      </c>
      <c r="AC82" s="102"/>
      <c r="AI82" s="4"/>
    </row>
    <row r="83" spans="10:35" x14ac:dyDescent="0.3">
      <c r="J83" s="3"/>
      <c r="L83" s="3"/>
      <c r="O83" s="4"/>
      <c r="Q83" s="3"/>
      <c r="S83" s="4"/>
      <c r="W83" s="4"/>
      <c r="Y83" s="3"/>
      <c r="Z83" s="105" t="s">
        <v>150</v>
      </c>
      <c r="AA83" s="101"/>
      <c r="AB83" s="101" t="s">
        <v>247</v>
      </c>
      <c r="AC83" s="102"/>
      <c r="AI83" s="4"/>
    </row>
    <row r="84" spans="10:35" x14ac:dyDescent="0.3">
      <c r="J84" s="3"/>
      <c r="L84" s="3" t="s">
        <v>179</v>
      </c>
      <c r="O84" s="4"/>
      <c r="Q84" s="3"/>
      <c r="S84" s="4"/>
      <c r="W84" s="4"/>
      <c r="Y84" s="3"/>
      <c r="Z84" s="105" t="s">
        <v>151</v>
      </c>
      <c r="AA84" s="101"/>
      <c r="AB84" s="101" t="s">
        <v>248</v>
      </c>
      <c r="AC84" s="102"/>
      <c r="AI84" s="4"/>
    </row>
    <row r="85" spans="10:35" x14ac:dyDescent="0.3">
      <c r="J85" s="3"/>
      <c r="L85" s="3"/>
      <c r="O85" s="4"/>
      <c r="Q85" s="3"/>
      <c r="S85" s="4"/>
      <c r="W85" s="4"/>
      <c r="Y85" s="3"/>
      <c r="Z85" s="105" t="s">
        <v>152</v>
      </c>
      <c r="AA85" s="101"/>
      <c r="AB85" s="101" t="s">
        <v>249</v>
      </c>
      <c r="AC85" s="102"/>
      <c r="AI85" s="4"/>
    </row>
    <row r="86" spans="10:35" ht="15" thickBot="1" x14ac:dyDescent="0.35">
      <c r="J86" s="3"/>
      <c r="L86" s="3"/>
      <c r="O86" s="4"/>
      <c r="Q86" s="3" t="s">
        <v>185</v>
      </c>
      <c r="S86" s="4"/>
      <c r="W86" s="4"/>
      <c r="Y86" s="3"/>
      <c r="Z86" s="106" t="s">
        <v>245</v>
      </c>
      <c r="AA86" s="103"/>
      <c r="AB86" s="103" t="s">
        <v>250</v>
      </c>
      <c r="AC86" s="104"/>
      <c r="AI86" s="4"/>
    </row>
    <row r="87" spans="10:35" ht="15" thickBot="1" x14ac:dyDescent="0.35">
      <c r="J87" s="3"/>
      <c r="L87" s="3"/>
      <c r="O87" s="4"/>
      <c r="Q87" s="3"/>
      <c r="S87" s="4"/>
      <c r="W87" s="4"/>
      <c r="Y87" s="5"/>
      <c r="Z87" s="6"/>
      <c r="AA87" s="6"/>
      <c r="AB87" s="6"/>
      <c r="AC87" s="6"/>
      <c r="AD87" s="6"/>
      <c r="AE87" s="6"/>
      <c r="AF87" s="6"/>
      <c r="AG87" s="6"/>
      <c r="AH87" s="6"/>
      <c r="AI87" s="7"/>
    </row>
    <row r="88" spans="10:35" x14ac:dyDescent="0.3">
      <c r="J88" s="3"/>
      <c r="L88" s="3"/>
      <c r="O88" s="4"/>
      <c r="Q88" s="3"/>
      <c r="S88" s="4"/>
      <c r="W88" s="4"/>
    </row>
    <row r="89" spans="10:35" x14ac:dyDescent="0.3">
      <c r="J89" s="3"/>
      <c r="L89" s="3"/>
      <c r="O89" s="4"/>
      <c r="Q89" s="3"/>
      <c r="S89" s="4"/>
      <c r="W89" s="4"/>
    </row>
    <row r="90" spans="10:35" x14ac:dyDescent="0.3">
      <c r="J90" s="3"/>
      <c r="L90" s="3" t="s">
        <v>180</v>
      </c>
      <c r="O90" s="4"/>
      <c r="Q90" s="3"/>
      <c r="S90" s="4"/>
      <c r="W90" s="4"/>
    </row>
    <row r="91" spans="10:35" ht="15" thickBot="1" x14ac:dyDescent="0.35">
      <c r="J91" s="3"/>
      <c r="L91" s="3"/>
      <c r="O91" s="4"/>
      <c r="Q91" s="5"/>
      <c r="R91" s="6"/>
      <c r="S91" s="7"/>
      <c r="W91" s="4"/>
    </row>
    <row r="92" spans="10:35" x14ac:dyDescent="0.3">
      <c r="J92" s="3"/>
      <c r="L92" s="3"/>
      <c r="O92" s="4"/>
      <c r="W92" s="4"/>
    </row>
    <row r="93" spans="10:35" x14ac:dyDescent="0.3">
      <c r="J93" s="3"/>
      <c r="L93" s="3"/>
      <c r="O93" s="4"/>
      <c r="W93" s="4"/>
    </row>
    <row r="94" spans="10:35" x14ac:dyDescent="0.3">
      <c r="J94" s="3"/>
      <c r="L94" s="3"/>
      <c r="O94" s="4"/>
      <c r="W94" s="4"/>
    </row>
    <row r="95" spans="10:35" x14ac:dyDescent="0.3">
      <c r="J95" s="3"/>
      <c r="L95" s="3"/>
      <c r="O95" s="4"/>
      <c r="W95" s="4"/>
    </row>
    <row r="96" spans="10:35" ht="15" thickBot="1" x14ac:dyDescent="0.35">
      <c r="J96" s="3"/>
      <c r="L96" s="5"/>
      <c r="M96" s="6"/>
      <c r="N96" s="6"/>
      <c r="O96" s="7"/>
      <c r="W96" s="4"/>
    </row>
    <row r="97" spans="10:23" x14ac:dyDescent="0.3">
      <c r="J97" s="3"/>
      <c r="W97" s="4"/>
    </row>
    <row r="98" spans="10:23" ht="15" thickBot="1" x14ac:dyDescent="0.35"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</row>
  </sheetData>
  <mergeCells count="23">
    <mergeCell ref="L7:O7"/>
    <mergeCell ref="Q7:R7"/>
    <mergeCell ref="F49:H49"/>
    <mergeCell ref="L46:O46"/>
    <mergeCell ref="L61:O61"/>
    <mergeCell ref="Q61:S61"/>
    <mergeCell ref="U61:V61"/>
    <mergeCell ref="Z35:AB35"/>
    <mergeCell ref="AD35:AF35"/>
    <mergeCell ref="Z47:AB47"/>
    <mergeCell ref="Z81:AA81"/>
    <mergeCell ref="AB81:AC81"/>
    <mergeCell ref="Z66:AC66"/>
    <mergeCell ref="Z82:AA82"/>
    <mergeCell ref="Z83:AA83"/>
    <mergeCell ref="Z84:AA84"/>
    <mergeCell ref="Z85:AA85"/>
    <mergeCell ref="Z86:AA86"/>
    <mergeCell ref="AB82:AC82"/>
    <mergeCell ref="AB83:AC83"/>
    <mergeCell ref="AB84:AC84"/>
    <mergeCell ref="AB85:AC85"/>
    <mergeCell ref="AB86:AC8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5BC6-C671-46EF-B442-59334B84A1D5}">
  <dimension ref="B2:AA49"/>
  <sheetViews>
    <sheetView zoomScale="77" workbookViewId="0">
      <selection activeCell="L36" sqref="L36"/>
    </sheetView>
  </sheetViews>
  <sheetFormatPr defaultRowHeight="14.4" x14ac:dyDescent="0.3"/>
  <cols>
    <col min="6" max="6" width="15.5546875" customWidth="1"/>
    <col min="7" max="7" width="21.44140625" bestFit="1" customWidth="1"/>
    <col min="9" max="9" width="14.77734375" bestFit="1" customWidth="1"/>
    <col min="12" max="12" width="23.5546875" customWidth="1"/>
    <col min="13" max="13" width="18" customWidth="1"/>
    <col min="14" max="14" width="17.6640625" customWidth="1"/>
    <col min="18" max="18" width="16.5546875" bestFit="1" customWidth="1"/>
    <col min="20" max="20" width="12.5546875" bestFit="1" customWidth="1"/>
    <col min="23" max="23" width="13.44140625" customWidth="1"/>
  </cols>
  <sheetData>
    <row r="2" spans="2:18" x14ac:dyDescent="0.3">
      <c r="L2" s="24"/>
      <c r="M2" s="24"/>
      <c r="N2" s="24"/>
      <c r="O2" s="24"/>
      <c r="P2" s="24"/>
      <c r="Q2" s="24"/>
      <c r="R2" s="24"/>
    </row>
    <row r="3" spans="2:18" ht="15" thickBot="1" x14ac:dyDescent="0.35">
      <c r="L3" s="24"/>
      <c r="M3" s="24"/>
      <c r="N3" s="24"/>
      <c r="O3" s="24"/>
      <c r="P3" s="24"/>
      <c r="Q3" s="24"/>
      <c r="R3" s="24"/>
    </row>
    <row r="4" spans="2:18" x14ac:dyDescent="0.3">
      <c r="B4" s="58">
        <v>1</v>
      </c>
      <c r="C4" s="23" t="s">
        <v>251</v>
      </c>
      <c r="D4" s="1"/>
      <c r="E4" s="1"/>
      <c r="F4" s="2"/>
      <c r="L4" s="24"/>
      <c r="M4" s="24"/>
      <c r="N4" s="24"/>
      <c r="O4" s="24"/>
      <c r="P4" s="24"/>
      <c r="Q4" s="24"/>
      <c r="R4" s="24"/>
    </row>
    <row r="5" spans="2:18" x14ac:dyDescent="0.3">
      <c r="B5" s="59">
        <v>2</v>
      </c>
      <c r="C5" s="3" t="s">
        <v>252</v>
      </c>
      <c r="F5" s="4"/>
      <c r="L5" s="24"/>
      <c r="M5" s="24"/>
      <c r="N5" s="24"/>
      <c r="O5" s="24"/>
      <c r="P5" s="24"/>
      <c r="Q5" s="24"/>
      <c r="R5" s="24"/>
    </row>
    <row r="6" spans="2:18" x14ac:dyDescent="0.3">
      <c r="B6" s="59">
        <v>3</v>
      </c>
      <c r="C6" s="3" t="s">
        <v>253</v>
      </c>
      <c r="F6" s="4"/>
      <c r="L6" s="24"/>
      <c r="M6" s="24"/>
      <c r="N6" s="24"/>
      <c r="O6" s="24"/>
      <c r="P6" s="24"/>
      <c r="Q6" s="24"/>
      <c r="R6" s="24"/>
    </row>
    <row r="7" spans="2:18" ht="15" thickBot="1" x14ac:dyDescent="0.35">
      <c r="B7" s="60">
        <v>4</v>
      </c>
      <c r="C7" s="5" t="s">
        <v>254</v>
      </c>
      <c r="D7" s="6"/>
      <c r="E7" s="6"/>
      <c r="F7" s="7"/>
      <c r="L7" s="24"/>
      <c r="M7" s="24"/>
      <c r="N7" s="24"/>
      <c r="O7" s="24"/>
      <c r="P7" s="24"/>
      <c r="Q7" s="24"/>
      <c r="R7" s="24"/>
    </row>
    <row r="8" spans="2:18" x14ac:dyDescent="0.3">
      <c r="L8" s="24"/>
      <c r="M8" s="24"/>
      <c r="N8" s="24"/>
      <c r="O8" s="24"/>
      <c r="P8" s="24"/>
      <c r="Q8" s="24"/>
      <c r="R8" s="24"/>
    </row>
    <row r="9" spans="2:18" x14ac:dyDescent="0.3">
      <c r="L9" s="24"/>
      <c r="M9" s="24"/>
      <c r="N9" s="24"/>
      <c r="O9" s="24"/>
      <c r="P9" s="24"/>
      <c r="Q9" s="24"/>
      <c r="R9" s="24"/>
    </row>
    <row r="10" spans="2:18" x14ac:dyDescent="0.3">
      <c r="L10" s="24"/>
      <c r="M10" s="24"/>
      <c r="N10" s="24"/>
      <c r="O10" s="24"/>
      <c r="P10" s="24"/>
      <c r="Q10" s="24"/>
      <c r="R10" s="24"/>
    </row>
    <row r="11" spans="2:18" x14ac:dyDescent="0.3">
      <c r="L11" s="24"/>
      <c r="M11" s="24"/>
      <c r="N11" s="24"/>
      <c r="O11" s="24"/>
      <c r="P11" s="24"/>
      <c r="Q11" s="24"/>
      <c r="R11" s="24"/>
    </row>
    <row r="12" spans="2:18" x14ac:dyDescent="0.3">
      <c r="L12" s="24"/>
      <c r="M12" s="24"/>
      <c r="N12" s="24"/>
      <c r="O12" s="24"/>
      <c r="P12" s="24"/>
      <c r="Q12" s="24"/>
      <c r="R12" s="24"/>
    </row>
    <row r="13" spans="2:18" ht="15" thickBot="1" x14ac:dyDescent="0.35">
      <c r="L13" s="24"/>
      <c r="M13" s="24"/>
      <c r="N13" s="24"/>
      <c r="O13" s="24"/>
      <c r="P13" s="24"/>
      <c r="Q13" s="24"/>
      <c r="R13" s="24"/>
    </row>
    <row r="14" spans="2:18" ht="15" thickBot="1" x14ac:dyDescent="0.35">
      <c r="F14" s="61">
        <v>1</v>
      </c>
      <c r="G14" s="96" t="s">
        <v>255</v>
      </c>
      <c r="H14" s="130"/>
      <c r="I14" s="97"/>
      <c r="L14" s="24"/>
      <c r="M14" s="24"/>
      <c r="N14" s="24"/>
      <c r="O14" s="24"/>
      <c r="P14" s="24"/>
      <c r="Q14" s="24"/>
      <c r="R14" s="24"/>
    </row>
    <row r="15" spans="2:18" x14ac:dyDescent="0.3">
      <c r="G15" s="47" t="s">
        <v>40</v>
      </c>
      <c r="H15" s="48" t="s">
        <v>119</v>
      </c>
      <c r="I15" s="49" t="s">
        <v>161</v>
      </c>
      <c r="L15" s="24"/>
      <c r="M15" s="24"/>
      <c r="N15" s="24"/>
      <c r="O15" s="24"/>
      <c r="P15" s="24"/>
      <c r="Q15" s="24"/>
      <c r="R15" s="24"/>
    </row>
    <row r="16" spans="2:18" x14ac:dyDescent="0.3">
      <c r="G16" s="46" t="s">
        <v>48</v>
      </c>
      <c r="H16" t="s">
        <v>256</v>
      </c>
      <c r="I16" s="4" t="s">
        <v>5</v>
      </c>
      <c r="L16" s="24"/>
      <c r="M16" s="24"/>
      <c r="N16" s="24"/>
      <c r="O16" s="24"/>
      <c r="P16" s="24"/>
      <c r="Q16" s="24"/>
      <c r="R16" s="24"/>
    </row>
    <row r="17" spans="6:27" x14ac:dyDescent="0.3">
      <c r="G17" s="3" t="s">
        <v>125</v>
      </c>
      <c r="H17" t="s">
        <v>258</v>
      </c>
      <c r="I17" s="4" t="s">
        <v>259</v>
      </c>
      <c r="L17" s="24"/>
      <c r="M17" s="24"/>
      <c r="N17" s="24"/>
      <c r="O17" s="24"/>
      <c r="P17" s="24"/>
      <c r="Q17" s="24"/>
      <c r="R17" s="24"/>
    </row>
    <row r="18" spans="6:27" x14ac:dyDescent="0.3">
      <c r="G18" s="3" t="s">
        <v>260</v>
      </c>
      <c r="H18" t="s">
        <v>257</v>
      </c>
      <c r="I18" s="4" t="s">
        <v>261</v>
      </c>
      <c r="L18" s="24"/>
      <c r="M18" s="24"/>
      <c r="N18" s="24"/>
      <c r="O18" s="24"/>
      <c r="P18" s="24"/>
      <c r="Q18" s="24"/>
      <c r="R18" s="24"/>
    </row>
    <row r="19" spans="6:27" x14ac:dyDescent="0.3">
      <c r="G19" s="3" t="s">
        <v>262</v>
      </c>
      <c r="H19" t="s">
        <v>263</v>
      </c>
      <c r="I19" s="4" t="s">
        <v>264</v>
      </c>
    </row>
    <row r="20" spans="6:27" x14ac:dyDescent="0.3">
      <c r="G20" s="3" t="s">
        <v>265</v>
      </c>
      <c r="H20" t="s">
        <v>266</v>
      </c>
      <c r="I20" s="4" t="s">
        <v>57</v>
      </c>
    </row>
    <row r="21" spans="6:27" x14ac:dyDescent="0.3">
      <c r="G21" s="3" t="s">
        <v>267</v>
      </c>
      <c r="H21" t="s">
        <v>268</v>
      </c>
      <c r="I21" s="4" t="s">
        <v>275</v>
      </c>
    </row>
    <row r="22" spans="6:27" x14ac:dyDescent="0.3">
      <c r="G22" s="3" t="s">
        <v>269</v>
      </c>
      <c r="H22" t="s">
        <v>270</v>
      </c>
      <c r="I22" s="4" t="s">
        <v>276</v>
      </c>
    </row>
    <row r="23" spans="6:27" x14ac:dyDescent="0.3">
      <c r="G23" s="3" t="s">
        <v>271</v>
      </c>
      <c r="H23" t="s">
        <v>272</v>
      </c>
      <c r="I23" s="4" t="s">
        <v>277</v>
      </c>
    </row>
    <row r="24" spans="6:27" x14ac:dyDescent="0.3">
      <c r="G24" s="3" t="s">
        <v>273</v>
      </c>
      <c r="H24" t="s">
        <v>274</v>
      </c>
      <c r="I24" s="4" t="s">
        <v>278</v>
      </c>
    </row>
    <row r="25" spans="6:27" ht="15" thickBot="1" x14ac:dyDescent="0.35">
      <c r="G25" s="5" t="s">
        <v>279</v>
      </c>
      <c r="H25" s="6" t="s">
        <v>280</v>
      </c>
      <c r="I25" s="7" t="s">
        <v>281</v>
      </c>
    </row>
    <row r="26" spans="6:27" ht="15" thickBot="1" x14ac:dyDescent="0.35">
      <c r="L26" s="61">
        <v>3</v>
      </c>
      <c r="W26" s="61">
        <v>5</v>
      </c>
    </row>
    <row r="27" spans="6:27" ht="15" thickBot="1" x14ac:dyDescent="0.35">
      <c r="F27" s="61">
        <v>2</v>
      </c>
      <c r="G27" s="137" t="s">
        <v>290</v>
      </c>
      <c r="H27" s="138"/>
      <c r="I27" s="139"/>
      <c r="L27" s="96" t="s">
        <v>291</v>
      </c>
      <c r="M27" s="130"/>
      <c r="N27" s="130"/>
      <c r="O27" s="97"/>
      <c r="Q27" s="23" t="s">
        <v>294</v>
      </c>
      <c r="R27" s="1"/>
      <c r="S27" s="1"/>
      <c r="T27" s="2"/>
      <c r="W27" s="118" t="s">
        <v>303</v>
      </c>
      <c r="X27" s="119"/>
      <c r="Y27" s="119"/>
      <c r="Z27" s="119"/>
      <c r="AA27" s="120"/>
    </row>
    <row r="28" spans="6:27" x14ac:dyDescent="0.3">
      <c r="G28" s="50" t="s">
        <v>282</v>
      </c>
      <c r="H28" s="51" t="s">
        <v>284</v>
      </c>
      <c r="I28" s="52" t="s">
        <v>285</v>
      </c>
      <c r="L28" s="140" t="s">
        <v>292</v>
      </c>
      <c r="M28" s="141"/>
      <c r="N28" s="141"/>
      <c r="O28" s="142"/>
      <c r="P28" s="53"/>
      <c r="Q28" s="3"/>
      <c r="T28" s="4"/>
      <c r="W28" s="3" t="s">
        <v>304</v>
      </c>
      <c r="X28" s="40" t="s">
        <v>305</v>
      </c>
      <c r="Y28">
        <v>1.5097700000000001</v>
      </c>
      <c r="Z28" t="s">
        <v>308</v>
      </c>
      <c r="AA28" s="4"/>
    </row>
    <row r="29" spans="6:27" x14ac:dyDescent="0.3">
      <c r="G29" s="3" t="s">
        <v>283</v>
      </c>
      <c r="H29">
        <v>0</v>
      </c>
      <c r="I29" s="4">
        <v>0</v>
      </c>
      <c r="L29" s="3"/>
      <c r="O29" s="4"/>
      <c r="Q29" s="3"/>
      <c r="T29" s="4"/>
      <c r="W29" s="3" t="s">
        <v>306</v>
      </c>
      <c r="AA29" s="4"/>
    </row>
    <row r="30" spans="6:27" x14ac:dyDescent="0.3">
      <c r="G30" s="3" t="s">
        <v>286</v>
      </c>
      <c r="H30">
        <v>1.2</v>
      </c>
      <c r="I30" s="4">
        <v>1.2</v>
      </c>
      <c r="L30" s="3"/>
      <c r="O30" s="4"/>
      <c r="Q30" s="3"/>
      <c r="T30" s="4"/>
      <c r="W30" s="3" t="s">
        <v>307</v>
      </c>
      <c r="X30" s="40" t="s">
        <v>305</v>
      </c>
      <c r="Y30">
        <f>1.2 + 1.50977</f>
        <v>2.7097699999999998</v>
      </c>
      <c r="Z30" t="s">
        <v>308</v>
      </c>
      <c r="AA30" s="4"/>
    </row>
    <row r="31" spans="6:27" ht="15" thickBot="1" x14ac:dyDescent="0.35">
      <c r="G31" s="3" t="s">
        <v>287</v>
      </c>
      <c r="H31">
        <v>1.8</v>
      </c>
      <c r="I31" s="4">
        <v>1.8</v>
      </c>
      <c r="L31" s="39" t="s">
        <v>187</v>
      </c>
      <c r="M31" s="40" t="s">
        <v>293</v>
      </c>
      <c r="O31" s="4"/>
      <c r="Q31" s="3"/>
      <c r="T31" s="4"/>
      <c r="W31" s="3"/>
      <c r="AA31" s="4"/>
    </row>
    <row r="32" spans="6:27" ht="15" thickBot="1" x14ac:dyDescent="0.35">
      <c r="G32" s="5" t="s">
        <v>288</v>
      </c>
      <c r="H32" s="6">
        <v>4.407</v>
      </c>
      <c r="I32" s="7">
        <v>3.5</v>
      </c>
      <c r="L32" s="41">
        <f>4.40742-0.25</f>
        <v>4.1574200000000001</v>
      </c>
      <c r="M32" s="42">
        <f>3.5-0.25</f>
        <v>3.25</v>
      </c>
      <c r="N32" s="6"/>
      <c r="O32" s="7"/>
      <c r="Q32" s="3"/>
      <c r="T32" s="61">
        <v>4</v>
      </c>
      <c r="W32" s="121" t="s">
        <v>309</v>
      </c>
      <c r="X32" s="122"/>
      <c r="Y32" s="122"/>
      <c r="Z32" s="122"/>
      <c r="AA32" s="123"/>
    </row>
    <row r="33" spans="7:27" ht="15" thickBot="1" x14ac:dyDescent="0.35">
      <c r="Q33" s="54" t="s">
        <v>295</v>
      </c>
      <c r="R33" s="55" t="s">
        <v>299</v>
      </c>
      <c r="S33" s="55" t="s">
        <v>300</v>
      </c>
      <c r="T33" s="56" t="s">
        <v>301</v>
      </c>
      <c r="W33" s="3"/>
      <c r="AA33" s="4"/>
    </row>
    <row r="34" spans="7:27" x14ac:dyDescent="0.3">
      <c r="G34" s="131" t="s">
        <v>289</v>
      </c>
      <c r="H34" s="132"/>
      <c r="I34" s="133"/>
      <c r="Q34" s="3" t="s">
        <v>296</v>
      </c>
      <c r="R34">
        <v>2.657</v>
      </c>
      <c r="S34">
        <v>4.3999999999999997E-2</v>
      </c>
      <c r="T34" s="4">
        <v>2.613</v>
      </c>
      <c r="W34" s="3"/>
      <c r="AA34" s="4"/>
    </row>
    <row r="35" spans="7:27" ht="15" thickBot="1" x14ac:dyDescent="0.35">
      <c r="G35" s="134"/>
      <c r="H35" s="135"/>
      <c r="I35" s="136"/>
      <c r="Q35" s="3" t="s">
        <v>297</v>
      </c>
      <c r="R35">
        <v>2.157</v>
      </c>
      <c r="S35">
        <v>4.3999999999999997E-2</v>
      </c>
      <c r="T35" s="4">
        <v>2.113</v>
      </c>
      <c r="W35" s="3" t="s">
        <v>310</v>
      </c>
      <c r="X35" s="40" t="s">
        <v>305</v>
      </c>
      <c r="Y35">
        <f>4.15742-2.70977</f>
        <v>1.4476500000000003</v>
      </c>
      <c r="AA35" s="4"/>
    </row>
    <row r="36" spans="7:27" x14ac:dyDescent="0.3">
      <c r="Q36" s="3" t="s">
        <v>298</v>
      </c>
      <c r="R36">
        <v>1.75</v>
      </c>
      <c r="S36">
        <v>4.3999999999999997E-2</v>
      </c>
      <c r="T36" s="4">
        <v>1.706</v>
      </c>
      <c r="W36" s="3" t="s">
        <v>311</v>
      </c>
      <c r="X36" s="40" t="s">
        <v>305</v>
      </c>
      <c r="Y36">
        <f>3.25 - 2.70977</f>
        <v>0.54023000000000021</v>
      </c>
      <c r="AA36" s="4"/>
    </row>
    <row r="37" spans="7:27" ht="15" thickBot="1" x14ac:dyDescent="0.35">
      <c r="Q37" s="5" t="s">
        <v>302</v>
      </c>
      <c r="R37" s="6">
        <v>1.25</v>
      </c>
      <c r="S37" s="6">
        <v>4.3999999999999997E-2</v>
      </c>
      <c r="T37" s="7">
        <v>1.206</v>
      </c>
      <c r="W37" s="5"/>
      <c r="X37" s="6"/>
      <c r="Y37" s="6"/>
      <c r="Z37" s="6"/>
      <c r="AA37" s="7"/>
    </row>
    <row r="41" spans="7:27" ht="15" thickBot="1" x14ac:dyDescent="0.35"/>
    <row r="42" spans="7:27" x14ac:dyDescent="0.3">
      <c r="L42" s="124" t="s">
        <v>186</v>
      </c>
      <c r="M42" s="125"/>
      <c r="N42" s="126"/>
    </row>
    <row r="43" spans="7:27" x14ac:dyDescent="0.3">
      <c r="L43" s="127" t="s">
        <v>312</v>
      </c>
      <c r="M43" s="128"/>
      <c r="N43" s="129"/>
    </row>
    <row r="44" spans="7:27" x14ac:dyDescent="0.3">
      <c r="L44" s="25" t="s">
        <v>40</v>
      </c>
      <c r="M44" s="57" t="s">
        <v>318</v>
      </c>
      <c r="N44" s="26" t="s">
        <v>319</v>
      </c>
    </row>
    <row r="45" spans="7:27" x14ac:dyDescent="0.3">
      <c r="L45" s="3" t="s">
        <v>313</v>
      </c>
      <c r="M45">
        <v>4.407</v>
      </c>
      <c r="N45" s="4">
        <v>3.5</v>
      </c>
    </row>
    <row r="46" spans="7:27" x14ac:dyDescent="0.3">
      <c r="L46" s="3" t="s">
        <v>314</v>
      </c>
      <c r="M46">
        <v>4.157</v>
      </c>
      <c r="N46" s="4">
        <v>3.25</v>
      </c>
    </row>
    <row r="47" spans="7:27" x14ac:dyDescent="0.3">
      <c r="L47" s="3" t="s">
        <v>315</v>
      </c>
      <c r="M47">
        <v>1.2</v>
      </c>
      <c r="N47" s="4">
        <v>1.2</v>
      </c>
    </row>
    <row r="48" spans="7:27" x14ac:dyDescent="0.3">
      <c r="L48" s="3" t="s">
        <v>316</v>
      </c>
      <c r="M48">
        <v>1.448</v>
      </c>
      <c r="N48" s="4">
        <v>0.54</v>
      </c>
    </row>
    <row r="49" spans="12:14" ht="15" thickBot="1" x14ac:dyDescent="0.35">
      <c r="L49" s="5" t="s">
        <v>317</v>
      </c>
      <c r="M49" s="6">
        <v>2.157</v>
      </c>
      <c r="N49" s="7">
        <v>1.25</v>
      </c>
    </row>
  </sheetData>
  <mergeCells count="9">
    <mergeCell ref="W27:AA27"/>
    <mergeCell ref="W32:AA32"/>
    <mergeCell ref="L42:N42"/>
    <mergeCell ref="L43:N43"/>
    <mergeCell ref="G14:I14"/>
    <mergeCell ref="G34:I35"/>
    <mergeCell ref="G27:I27"/>
    <mergeCell ref="L28:O28"/>
    <mergeCell ref="L27:O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63F1-C3B8-4E21-AFE9-53BCFB977228}">
  <dimension ref="C4:X66"/>
  <sheetViews>
    <sheetView zoomScale="70" zoomScaleNormal="70" workbookViewId="0">
      <selection activeCell="K47" sqref="K47"/>
    </sheetView>
  </sheetViews>
  <sheetFormatPr defaultRowHeight="14.4" x14ac:dyDescent="0.3"/>
  <cols>
    <col min="4" max="4" width="19.33203125" bestFit="1" customWidth="1"/>
    <col min="6" max="6" width="10.33203125" bestFit="1" customWidth="1"/>
    <col min="7" max="7" width="11.77734375" bestFit="1" customWidth="1"/>
    <col min="9" max="9" width="23.6640625" bestFit="1" customWidth="1"/>
    <col min="18" max="18" width="10.33203125" customWidth="1"/>
    <col min="19" max="19" width="31.77734375" bestFit="1" customWidth="1"/>
    <col min="20" max="20" width="21.88671875" customWidth="1"/>
    <col min="21" max="21" width="15.5546875" bestFit="1" customWidth="1"/>
    <col min="22" max="22" width="24.109375" bestFit="1" customWidth="1"/>
    <col min="23" max="23" width="15.5546875" bestFit="1" customWidth="1"/>
    <col min="24" max="24" width="20.44140625" bestFit="1" customWidth="1"/>
  </cols>
  <sheetData>
    <row r="4" spans="3:23" x14ac:dyDescent="0.3">
      <c r="C4">
        <v>1</v>
      </c>
      <c r="D4" s="143" t="s">
        <v>320</v>
      </c>
      <c r="E4" s="143"/>
      <c r="F4" s="143"/>
      <c r="G4" s="143"/>
      <c r="H4" s="143"/>
    </row>
    <row r="5" spans="3:23" x14ac:dyDescent="0.3">
      <c r="C5">
        <v>2</v>
      </c>
      <c r="D5" s="143" t="s">
        <v>321</v>
      </c>
      <c r="E5" s="143"/>
      <c r="F5" s="143"/>
      <c r="G5" s="143"/>
      <c r="H5" s="143"/>
    </row>
    <row r="6" spans="3:23" x14ac:dyDescent="0.3">
      <c r="C6">
        <v>3</v>
      </c>
      <c r="D6" s="143" t="s">
        <v>322</v>
      </c>
      <c r="E6" s="143"/>
      <c r="F6" s="143"/>
      <c r="G6" s="143"/>
      <c r="H6" s="143"/>
    </row>
    <row r="7" spans="3:23" x14ac:dyDescent="0.3">
      <c r="C7">
        <v>4</v>
      </c>
      <c r="D7" s="143" t="s">
        <v>323</v>
      </c>
      <c r="E7" s="143"/>
      <c r="F7" s="143"/>
      <c r="G7" s="143"/>
      <c r="H7" s="143"/>
    </row>
    <row r="8" spans="3:23" ht="15" thickBot="1" x14ac:dyDescent="0.35">
      <c r="C8">
        <v>5</v>
      </c>
      <c r="D8" s="143" t="s">
        <v>324</v>
      </c>
      <c r="E8" s="143"/>
      <c r="F8" s="143"/>
      <c r="G8" s="143"/>
      <c r="H8" s="143"/>
    </row>
    <row r="9" spans="3:23" ht="15" thickBot="1" x14ac:dyDescent="0.35">
      <c r="J9" s="68">
        <v>1</v>
      </c>
      <c r="O9" s="61">
        <v>2</v>
      </c>
    </row>
    <row r="10" spans="3:23" ht="15" thickBot="1" x14ac:dyDescent="0.35">
      <c r="D10" s="23" t="s">
        <v>325</v>
      </c>
      <c r="E10" s="1"/>
      <c r="F10" s="1"/>
      <c r="G10" s="2"/>
      <c r="J10" s="144" t="s">
        <v>343</v>
      </c>
      <c r="K10" s="145"/>
      <c r="L10" s="145"/>
      <c r="M10" s="146"/>
      <c r="O10" s="144" t="s">
        <v>351</v>
      </c>
      <c r="P10" s="145"/>
      <c r="Q10" s="145"/>
      <c r="R10" s="146"/>
      <c r="T10" s="69" t="s">
        <v>40</v>
      </c>
      <c r="U10" s="51" t="s">
        <v>360</v>
      </c>
      <c r="V10" s="52" t="s">
        <v>361</v>
      </c>
      <c r="W10" s="61">
        <v>3</v>
      </c>
    </row>
    <row r="11" spans="3:23" x14ac:dyDescent="0.3">
      <c r="D11" s="3" t="s">
        <v>40</v>
      </c>
      <c r="E11" t="s">
        <v>119</v>
      </c>
      <c r="F11" t="s">
        <v>161</v>
      </c>
      <c r="G11" s="4" t="s">
        <v>121</v>
      </c>
      <c r="J11" s="147" t="s">
        <v>344</v>
      </c>
      <c r="K11" s="148"/>
      <c r="L11" s="148"/>
      <c r="M11" s="149"/>
      <c r="O11" s="3" t="s">
        <v>352</v>
      </c>
      <c r="R11" s="4"/>
      <c r="T11" s="3" t="s">
        <v>355</v>
      </c>
      <c r="U11" s="40">
        <v>5000</v>
      </c>
      <c r="V11" s="12">
        <v>3396</v>
      </c>
    </row>
    <row r="12" spans="3:23" x14ac:dyDescent="0.3">
      <c r="D12" s="3" t="s">
        <v>48</v>
      </c>
      <c r="F12" t="s">
        <v>5</v>
      </c>
      <c r="G12" s="4" t="s">
        <v>6</v>
      </c>
      <c r="J12" s="3"/>
      <c r="M12" s="4"/>
      <c r="O12" s="3"/>
      <c r="R12" s="4"/>
      <c r="T12" s="3" t="s">
        <v>356</v>
      </c>
      <c r="U12" s="40">
        <v>4558</v>
      </c>
      <c r="V12" s="12">
        <v>2955</v>
      </c>
    </row>
    <row r="13" spans="3:23" x14ac:dyDescent="0.3">
      <c r="D13" s="3" t="s">
        <v>326</v>
      </c>
      <c r="F13" t="s">
        <v>33</v>
      </c>
      <c r="G13" s="4" t="s">
        <v>127</v>
      </c>
      <c r="J13" s="3"/>
      <c r="M13" s="4"/>
      <c r="O13" s="3"/>
      <c r="R13" s="4"/>
      <c r="T13" s="3" t="s">
        <v>357</v>
      </c>
      <c r="U13" s="40">
        <v>1200</v>
      </c>
      <c r="V13" s="12">
        <v>1200</v>
      </c>
    </row>
    <row r="14" spans="3:23" x14ac:dyDescent="0.3">
      <c r="D14" s="3" t="s">
        <v>327</v>
      </c>
      <c r="F14" t="s">
        <v>43</v>
      </c>
      <c r="G14" s="4" t="s">
        <v>340</v>
      </c>
      <c r="J14" s="3"/>
      <c r="M14" s="4"/>
      <c r="O14" s="3" t="s">
        <v>353</v>
      </c>
      <c r="R14" s="4"/>
      <c r="T14" s="3" t="s">
        <v>358</v>
      </c>
      <c r="U14" s="40">
        <v>3358</v>
      </c>
      <c r="V14" s="12">
        <v>1755</v>
      </c>
    </row>
    <row r="15" spans="3:23" ht="15" thickBot="1" x14ac:dyDescent="0.35">
      <c r="D15" s="3" t="s">
        <v>260</v>
      </c>
      <c r="F15" t="s">
        <v>335</v>
      </c>
      <c r="G15" s="4" t="s">
        <v>341</v>
      </c>
      <c r="J15" s="3" t="s">
        <v>345</v>
      </c>
      <c r="K15" s="40" t="s">
        <v>305</v>
      </c>
      <c r="L15" s="29">
        <f>1000/500</f>
        <v>2</v>
      </c>
      <c r="M15" s="4" t="s">
        <v>346</v>
      </c>
      <c r="O15" s="3"/>
      <c r="R15" s="4"/>
      <c r="T15" s="5" t="s">
        <v>359</v>
      </c>
      <c r="U15" s="42">
        <v>442</v>
      </c>
      <c r="V15" s="13">
        <v>442</v>
      </c>
    </row>
    <row r="16" spans="3:23" x14ac:dyDescent="0.3">
      <c r="D16" s="3" t="s">
        <v>328</v>
      </c>
      <c r="F16" t="s">
        <v>336</v>
      </c>
      <c r="G16" s="4" t="s">
        <v>341</v>
      </c>
      <c r="J16" s="147" t="s">
        <v>347</v>
      </c>
      <c r="K16" s="148"/>
      <c r="L16" s="148"/>
      <c r="M16" s="149"/>
      <c r="O16" s="3"/>
      <c r="R16" s="4"/>
    </row>
    <row r="17" spans="4:21" x14ac:dyDescent="0.3">
      <c r="D17" s="3" t="s">
        <v>329</v>
      </c>
      <c r="F17" t="s">
        <v>337</v>
      </c>
      <c r="G17" s="4" t="s">
        <v>169</v>
      </c>
      <c r="J17" s="3"/>
      <c r="M17" s="4"/>
      <c r="O17" s="3"/>
      <c r="R17" s="4"/>
      <c r="T17" t="s">
        <v>362</v>
      </c>
    </row>
    <row r="18" spans="4:21" x14ac:dyDescent="0.3">
      <c r="D18" s="3" t="s">
        <v>330</v>
      </c>
      <c r="F18" t="s">
        <v>275</v>
      </c>
      <c r="G18" s="4" t="s">
        <v>169</v>
      </c>
      <c r="J18" s="3"/>
      <c r="M18" s="4"/>
      <c r="O18" s="3" t="s">
        <v>354</v>
      </c>
      <c r="P18">
        <f>(3.14*(1.5^2))/4</f>
        <v>1.7662500000000001</v>
      </c>
      <c r="R18" s="4"/>
    </row>
    <row r="19" spans="4:21" ht="15" thickBot="1" x14ac:dyDescent="0.35">
      <c r="D19" s="3" t="s">
        <v>331</v>
      </c>
      <c r="F19">
        <v>0.4</v>
      </c>
      <c r="G19" s="4" t="s">
        <v>127</v>
      </c>
      <c r="J19" s="3" t="s">
        <v>348</v>
      </c>
      <c r="K19" s="40" t="s">
        <v>305</v>
      </c>
      <c r="L19" s="29">
        <f>0.4*2</f>
        <v>0.8</v>
      </c>
      <c r="M19" s="4" t="s">
        <v>346</v>
      </c>
      <c r="O19" s="5" t="s">
        <v>354</v>
      </c>
      <c r="P19" s="6">
        <f>P18*0.25</f>
        <v>0.44156250000000002</v>
      </c>
      <c r="Q19" s="6" t="s">
        <v>346</v>
      </c>
      <c r="R19" s="7"/>
    </row>
    <row r="20" spans="4:21" x14ac:dyDescent="0.3">
      <c r="D20" s="3" t="s">
        <v>332</v>
      </c>
      <c r="F20" t="s">
        <v>338</v>
      </c>
      <c r="G20" s="4" t="s">
        <v>342</v>
      </c>
      <c r="J20" s="147" t="s">
        <v>349</v>
      </c>
      <c r="K20" s="148"/>
      <c r="L20" s="148"/>
      <c r="M20" s="149"/>
    </row>
    <row r="21" spans="4:21" x14ac:dyDescent="0.3">
      <c r="D21" s="3" t="s">
        <v>333</v>
      </c>
      <c r="F21" t="s">
        <v>339</v>
      </c>
      <c r="G21" s="4" t="s">
        <v>127</v>
      </c>
      <c r="J21" s="3"/>
      <c r="M21" s="4"/>
    </row>
    <row r="22" spans="4:21" ht="15" thickBot="1" x14ac:dyDescent="0.35">
      <c r="D22" s="5" t="s">
        <v>334</v>
      </c>
      <c r="E22" s="6"/>
      <c r="F22" s="6" t="s">
        <v>138</v>
      </c>
      <c r="G22" s="7" t="s">
        <v>139</v>
      </c>
      <c r="J22" s="3"/>
      <c r="M22" s="4"/>
    </row>
    <row r="23" spans="4:21" ht="15" thickBot="1" x14ac:dyDescent="0.35">
      <c r="J23" s="5" t="s">
        <v>350</v>
      </c>
      <c r="K23" s="6" t="s">
        <v>305</v>
      </c>
      <c r="L23" s="30">
        <f>(1-0.4)*2</f>
        <v>1.2</v>
      </c>
      <c r="M23" s="7" t="s">
        <v>346</v>
      </c>
    </row>
    <row r="29" spans="4:21" ht="15" thickBot="1" x14ac:dyDescent="0.35"/>
    <row r="30" spans="4:21" ht="15" thickBot="1" x14ac:dyDescent="0.35">
      <c r="E30" s="61">
        <v>4</v>
      </c>
      <c r="J30" s="61">
        <v>5</v>
      </c>
      <c r="O30" s="61">
        <v>6</v>
      </c>
    </row>
    <row r="31" spans="4:21" ht="15" thickBot="1" x14ac:dyDescent="0.35">
      <c r="D31" s="144" t="s">
        <v>363</v>
      </c>
      <c r="E31" s="145"/>
      <c r="F31" s="145"/>
      <c r="G31" s="146"/>
      <c r="I31" s="144" t="s">
        <v>371</v>
      </c>
      <c r="J31" s="145"/>
      <c r="K31" s="145"/>
      <c r="L31" s="146"/>
      <c r="N31" s="144" t="s">
        <v>376</v>
      </c>
      <c r="O31" s="145"/>
      <c r="P31" s="145"/>
      <c r="Q31" s="146"/>
      <c r="S31" s="50" t="s">
        <v>382</v>
      </c>
      <c r="T31" s="52" t="s">
        <v>120</v>
      </c>
      <c r="U31" s="61">
        <v>7</v>
      </c>
    </row>
    <row r="32" spans="4:21" x14ac:dyDescent="0.3">
      <c r="D32" s="3"/>
      <c r="G32" s="4"/>
      <c r="I32" s="3" t="s">
        <v>372</v>
      </c>
      <c r="J32" t="s">
        <v>305</v>
      </c>
      <c r="K32">
        <v>1000</v>
      </c>
      <c r="L32" s="4" t="s">
        <v>367</v>
      </c>
      <c r="N32" s="3"/>
      <c r="Q32" s="4"/>
      <c r="S32" s="3" t="s">
        <v>383</v>
      </c>
      <c r="T32" s="4" t="s">
        <v>386</v>
      </c>
    </row>
    <row r="33" spans="4:20" x14ac:dyDescent="0.3">
      <c r="D33" s="3"/>
      <c r="G33" s="4"/>
      <c r="I33" s="3" t="s">
        <v>373</v>
      </c>
      <c r="L33" s="4"/>
      <c r="N33" s="3"/>
      <c r="Q33" s="4"/>
      <c r="S33" s="3" t="s">
        <v>384</v>
      </c>
      <c r="T33" s="4" t="s">
        <v>387</v>
      </c>
    </row>
    <row r="34" spans="4:20" ht="15" thickBot="1" x14ac:dyDescent="0.35">
      <c r="D34" s="3" t="s">
        <v>364</v>
      </c>
      <c r="E34" t="s">
        <v>305</v>
      </c>
      <c r="F34">
        <v>1</v>
      </c>
      <c r="G34" s="4" t="s">
        <v>366</v>
      </c>
      <c r="I34" s="3"/>
      <c r="L34" s="4"/>
      <c r="N34" s="3" t="s">
        <v>377</v>
      </c>
      <c r="O34" t="s">
        <v>305</v>
      </c>
      <c r="P34">
        <f>5000-1200</f>
        <v>3800</v>
      </c>
      <c r="Q34" s="4" t="s">
        <v>346</v>
      </c>
      <c r="S34" s="5" t="s">
        <v>385</v>
      </c>
      <c r="T34" s="7" t="s">
        <v>388</v>
      </c>
    </row>
    <row r="35" spans="4:20" x14ac:dyDescent="0.3">
      <c r="D35" s="3" t="s">
        <v>365</v>
      </c>
      <c r="E35" t="s">
        <v>305</v>
      </c>
      <c r="F35">
        <f>F34*U14</f>
        <v>3358</v>
      </c>
      <c r="G35" s="4" t="s">
        <v>367</v>
      </c>
      <c r="I35" s="3" t="s">
        <v>374</v>
      </c>
      <c r="J35" t="s">
        <v>305</v>
      </c>
      <c r="K35">
        <f>(K32*9.81)/1000</f>
        <v>9.81</v>
      </c>
      <c r="L35" s="4" t="s">
        <v>370</v>
      </c>
      <c r="N35" s="3"/>
      <c r="Q35" s="4"/>
    </row>
    <row r="36" spans="4:20" ht="15" thickBot="1" x14ac:dyDescent="0.35">
      <c r="D36" s="3"/>
      <c r="G36" s="4"/>
      <c r="I36" s="5"/>
      <c r="J36" s="6"/>
      <c r="K36" s="6"/>
      <c r="L36" s="7"/>
      <c r="N36" s="3" t="s">
        <v>378</v>
      </c>
      <c r="Q36" s="4"/>
    </row>
    <row r="37" spans="4:20" ht="15" thickBot="1" x14ac:dyDescent="0.35">
      <c r="D37" s="3" t="s">
        <v>368</v>
      </c>
      <c r="G37" s="4"/>
      <c r="N37" s="3" t="s">
        <v>379</v>
      </c>
      <c r="O37" t="s">
        <v>305</v>
      </c>
      <c r="P37">
        <f>1000+(1000*3.8)</f>
        <v>4800</v>
      </c>
      <c r="Q37" s="4" t="s">
        <v>367</v>
      </c>
    </row>
    <row r="38" spans="4:20" ht="15" thickBot="1" x14ac:dyDescent="0.35">
      <c r="D38" s="3"/>
      <c r="G38" s="4"/>
      <c r="I38" s="65" t="s">
        <v>375</v>
      </c>
      <c r="J38" s="66" t="s">
        <v>305</v>
      </c>
      <c r="K38" s="66">
        <f>K35+F40</f>
        <v>42.751980000000003</v>
      </c>
      <c r="L38" s="67" t="s">
        <v>370</v>
      </c>
      <c r="N38" s="3"/>
      <c r="Q38" s="4"/>
    </row>
    <row r="39" spans="4:20" x14ac:dyDescent="0.3">
      <c r="D39" s="3"/>
      <c r="G39" s="4"/>
      <c r="N39" s="3" t="s">
        <v>380</v>
      </c>
      <c r="Q39" s="4"/>
    </row>
    <row r="40" spans="4:20" ht="15" thickBot="1" x14ac:dyDescent="0.35">
      <c r="D40" s="5" t="s">
        <v>369</v>
      </c>
      <c r="E40" s="6" t="s">
        <v>305</v>
      </c>
      <c r="F40" s="6">
        <f>(U14*9.81)/1000</f>
        <v>32.941980000000001</v>
      </c>
      <c r="G40" s="7" t="s">
        <v>370</v>
      </c>
      <c r="N40" s="5" t="s">
        <v>381</v>
      </c>
      <c r="O40" s="6" t="s">
        <v>305</v>
      </c>
      <c r="P40" s="6">
        <f>(P37*9.81)/1000</f>
        <v>47.088000000000001</v>
      </c>
      <c r="Q40" s="7" t="s">
        <v>370</v>
      </c>
    </row>
    <row r="49" spans="3:24" ht="15" thickBot="1" x14ac:dyDescent="0.35">
      <c r="D49" t="s">
        <v>389</v>
      </c>
    </row>
    <row r="50" spans="3:24" ht="15" thickBot="1" x14ac:dyDescent="0.35">
      <c r="K50" s="144" t="s">
        <v>390</v>
      </c>
      <c r="L50" s="145"/>
      <c r="M50" s="145"/>
      <c r="N50" s="146"/>
    </row>
    <row r="51" spans="3:24" ht="15" thickBot="1" x14ac:dyDescent="0.35">
      <c r="C51" s="61">
        <v>8</v>
      </c>
      <c r="K51" s="3"/>
      <c r="N51" s="4"/>
      <c r="O51" s="61">
        <v>9</v>
      </c>
    </row>
    <row r="52" spans="3:24" x14ac:dyDescent="0.3">
      <c r="K52" s="3"/>
      <c r="N52" s="4"/>
      <c r="U52" s="144" t="s">
        <v>394</v>
      </c>
      <c r="V52" s="145"/>
      <c r="W52" s="145"/>
      <c r="X52" s="146"/>
    </row>
    <row r="53" spans="3:24" x14ac:dyDescent="0.3">
      <c r="K53" s="3"/>
      <c r="N53" s="4"/>
      <c r="U53" s="3" t="s">
        <v>395</v>
      </c>
      <c r="V53" t="s">
        <v>396</v>
      </c>
      <c r="W53" t="s">
        <v>397</v>
      </c>
      <c r="X53" s="4" t="s">
        <v>398</v>
      </c>
    </row>
    <row r="54" spans="3:24" x14ac:dyDescent="0.3">
      <c r="K54" s="3" t="s">
        <v>391</v>
      </c>
      <c r="N54" s="4"/>
      <c r="U54" s="3" t="s">
        <v>399</v>
      </c>
      <c r="V54" t="s">
        <v>400</v>
      </c>
      <c r="W54" t="s">
        <v>401</v>
      </c>
      <c r="X54" s="4" t="s">
        <v>405</v>
      </c>
    </row>
    <row r="55" spans="3:24" ht="15" thickBot="1" x14ac:dyDescent="0.35">
      <c r="K55" s="5" t="s">
        <v>392</v>
      </c>
      <c r="L55" s="6" t="s">
        <v>305</v>
      </c>
      <c r="M55" s="6">
        <f>42.754/4</f>
        <v>10.688499999999999</v>
      </c>
      <c r="N55" s="7" t="s">
        <v>393</v>
      </c>
      <c r="U55" s="3" t="s">
        <v>112</v>
      </c>
      <c r="V55" t="s">
        <v>402</v>
      </c>
      <c r="W55" t="s">
        <v>403</v>
      </c>
      <c r="X55" s="4" t="s">
        <v>404</v>
      </c>
    </row>
    <row r="56" spans="3:24" x14ac:dyDescent="0.3">
      <c r="U56" s="3" t="s">
        <v>114</v>
      </c>
      <c r="V56" t="s">
        <v>406</v>
      </c>
      <c r="W56" t="s">
        <v>407</v>
      </c>
      <c r="X56" s="4" t="s">
        <v>408</v>
      </c>
    </row>
    <row r="57" spans="3:24" x14ac:dyDescent="0.3">
      <c r="U57" s="3" t="s">
        <v>409</v>
      </c>
      <c r="V57" t="s">
        <v>410</v>
      </c>
      <c r="W57" t="s">
        <v>20</v>
      </c>
      <c r="X57" s="4" t="s">
        <v>18</v>
      </c>
    </row>
    <row r="58" spans="3:24" x14ac:dyDescent="0.3">
      <c r="U58" s="3" t="s">
        <v>411</v>
      </c>
      <c r="V58" t="s">
        <v>412</v>
      </c>
      <c r="W58" t="s">
        <v>413</v>
      </c>
      <c r="X58" s="4" t="s">
        <v>18</v>
      </c>
    </row>
    <row r="59" spans="3:24" x14ac:dyDescent="0.3">
      <c r="U59" s="3" t="s">
        <v>414</v>
      </c>
      <c r="V59" t="s">
        <v>415</v>
      </c>
      <c r="W59" t="s">
        <v>20</v>
      </c>
      <c r="X59" s="4" t="s">
        <v>408</v>
      </c>
    </row>
    <row r="60" spans="3:24" ht="15" thickBot="1" x14ac:dyDescent="0.35">
      <c r="U60" s="5" t="s">
        <v>416</v>
      </c>
      <c r="V60" s="6" t="s">
        <v>417</v>
      </c>
      <c r="W60" s="6" t="s">
        <v>418</v>
      </c>
      <c r="X60" s="7" t="s">
        <v>419</v>
      </c>
    </row>
    <row r="63" spans="3:24" ht="15" thickBot="1" x14ac:dyDescent="0.35"/>
    <row r="64" spans="3:24" x14ac:dyDescent="0.3">
      <c r="U64" s="80" t="s">
        <v>420</v>
      </c>
      <c r="V64" s="81"/>
      <c r="W64" s="82"/>
    </row>
    <row r="65" spans="21:23" x14ac:dyDescent="0.3">
      <c r="U65" s="3" t="s">
        <v>421</v>
      </c>
      <c r="V65" t="s">
        <v>305</v>
      </c>
      <c r="W65" s="4" t="s">
        <v>387</v>
      </c>
    </row>
    <row r="66" spans="21:23" ht="15" thickBot="1" x14ac:dyDescent="0.35">
      <c r="U66" s="5"/>
      <c r="V66" s="6" t="s">
        <v>305</v>
      </c>
      <c r="W66" s="7" t="s">
        <v>422</v>
      </c>
    </row>
  </sheetData>
  <mergeCells count="16">
    <mergeCell ref="K50:N50"/>
    <mergeCell ref="U52:X52"/>
    <mergeCell ref="U64:W64"/>
    <mergeCell ref="O10:R10"/>
    <mergeCell ref="D31:G31"/>
    <mergeCell ref="I31:L31"/>
    <mergeCell ref="N31:Q31"/>
    <mergeCell ref="J10:M10"/>
    <mergeCell ref="J20:M20"/>
    <mergeCell ref="J16:M16"/>
    <mergeCell ref="J11:M11"/>
    <mergeCell ref="D4:H4"/>
    <mergeCell ref="D5:H5"/>
    <mergeCell ref="D6:H6"/>
    <mergeCell ref="D7:H7"/>
    <mergeCell ref="D8:H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8A15-3936-4EAE-BCB2-BA505CAAB650}">
  <dimension ref="B5:W34"/>
  <sheetViews>
    <sheetView workbookViewId="0">
      <selection activeCell="J41" sqref="J41"/>
    </sheetView>
  </sheetViews>
  <sheetFormatPr defaultRowHeight="14.4" x14ac:dyDescent="0.3"/>
  <cols>
    <col min="2" max="2" width="19.33203125" bestFit="1" customWidth="1"/>
    <col min="4" max="4" width="10.33203125" style="40" bestFit="1" customWidth="1"/>
    <col min="5" max="5" width="11.77734375" bestFit="1" customWidth="1"/>
    <col min="7" max="7" width="19.21875" bestFit="1" customWidth="1"/>
    <col min="12" max="12" width="23.5546875" bestFit="1" customWidth="1"/>
    <col min="16" max="16" width="29.5546875" bestFit="1" customWidth="1"/>
    <col min="21" max="21" width="23" bestFit="1" customWidth="1"/>
  </cols>
  <sheetData>
    <row r="5" spans="2:23" ht="15" thickBot="1" x14ac:dyDescent="0.35"/>
    <row r="6" spans="2:23" x14ac:dyDescent="0.3">
      <c r="B6" s="150" t="s">
        <v>325</v>
      </c>
      <c r="C6" s="151"/>
      <c r="D6" s="151"/>
      <c r="E6" s="152"/>
      <c r="G6" s="150" t="s">
        <v>423</v>
      </c>
      <c r="H6" s="151"/>
      <c r="I6" s="151"/>
      <c r="J6" s="152"/>
      <c r="L6" s="150" t="s">
        <v>428</v>
      </c>
      <c r="M6" s="151"/>
      <c r="N6" s="152"/>
      <c r="P6" s="112" t="s">
        <v>445</v>
      </c>
      <c r="Q6" s="113"/>
      <c r="R6" s="113"/>
      <c r="S6" s="114"/>
      <c r="U6" s="112" t="s">
        <v>460</v>
      </c>
      <c r="V6" s="113"/>
      <c r="W6" s="114"/>
    </row>
    <row r="7" spans="2:23" x14ac:dyDescent="0.3">
      <c r="B7" s="3" t="s">
        <v>40</v>
      </c>
      <c r="C7" t="s">
        <v>119</v>
      </c>
      <c r="D7" s="40" t="s">
        <v>161</v>
      </c>
      <c r="E7" s="4"/>
      <c r="G7" s="3" t="s">
        <v>424</v>
      </c>
      <c r="H7" t="s">
        <v>305</v>
      </c>
      <c r="I7">
        <v>0</v>
      </c>
      <c r="J7" s="4" t="s">
        <v>426</v>
      </c>
      <c r="L7" s="3" t="s">
        <v>40</v>
      </c>
      <c r="M7" s="40" t="s">
        <v>161</v>
      </c>
      <c r="N7" s="4"/>
      <c r="P7" s="3" t="s">
        <v>40</v>
      </c>
      <c r="Q7" t="s">
        <v>446</v>
      </c>
      <c r="R7" t="s">
        <v>121</v>
      </c>
      <c r="S7" s="4"/>
      <c r="U7" s="3" t="s">
        <v>461</v>
      </c>
      <c r="V7">
        <v>2</v>
      </c>
      <c r="W7" s="4" t="s">
        <v>346</v>
      </c>
    </row>
    <row r="8" spans="2:23" x14ac:dyDescent="0.3">
      <c r="B8" s="3" t="s">
        <v>48</v>
      </c>
      <c r="D8" s="40" t="s">
        <v>5</v>
      </c>
      <c r="E8" s="4"/>
      <c r="G8" s="3" t="s">
        <v>286</v>
      </c>
      <c r="H8" t="s">
        <v>305</v>
      </c>
      <c r="I8">
        <v>1.2</v>
      </c>
      <c r="J8" s="4" t="s">
        <v>426</v>
      </c>
      <c r="L8" s="3" t="s">
        <v>429</v>
      </c>
      <c r="M8" s="40" t="s">
        <v>124</v>
      </c>
      <c r="N8" s="4"/>
      <c r="P8" s="3" t="s">
        <v>125</v>
      </c>
      <c r="Q8">
        <v>1.5</v>
      </c>
      <c r="R8" t="s">
        <v>127</v>
      </c>
      <c r="S8" s="4"/>
      <c r="U8" s="3" t="s">
        <v>462</v>
      </c>
      <c r="V8">
        <v>1.7549999999999999</v>
      </c>
      <c r="W8" s="4" t="s">
        <v>346</v>
      </c>
    </row>
    <row r="9" spans="2:23" x14ac:dyDescent="0.3">
      <c r="B9" s="3" t="s">
        <v>326</v>
      </c>
      <c r="D9" s="40" t="s">
        <v>33</v>
      </c>
      <c r="E9" s="4"/>
      <c r="G9" s="3" t="s">
        <v>262</v>
      </c>
      <c r="H9" t="s">
        <v>305</v>
      </c>
      <c r="I9">
        <v>0.6</v>
      </c>
      <c r="J9" s="4" t="s">
        <v>426</v>
      </c>
      <c r="L9" s="3" t="s">
        <v>430</v>
      </c>
      <c r="M9" s="40" t="s">
        <v>151</v>
      </c>
      <c r="N9" s="4"/>
      <c r="P9" s="3" t="s">
        <v>447</v>
      </c>
      <c r="Q9">
        <v>1</v>
      </c>
      <c r="R9" t="s">
        <v>18</v>
      </c>
      <c r="S9" s="4"/>
      <c r="U9" s="3" t="s">
        <v>463</v>
      </c>
      <c r="V9">
        <v>2.7549999999999999</v>
      </c>
      <c r="W9" s="4" t="s">
        <v>367</v>
      </c>
    </row>
    <row r="10" spans="2:23" x14ac:dyDescent="0.3">
      <c r="B10" s="3" t="s">
        <v>327</v>
      </c>
      <c r="D10" s="40" t="s">
        <v>43</v>
      </c>
      <c r="E10" s="4"/>
      <c r="G10" s="3" t="s">
        <v>425</v>
      </c>
      <c r="H10" t="s">
        <v>305</v>
      </c>
      <c r="I10">
        <v>0.25</v>
      </c>
      <c r="J10" s="4" t="s">
        <v>426</v>
      </c>
      <c r="L10" s="3" t="s">
        <v>431</v>
      </c>
      <c r="M10" s="40" t="s">
        <v>130</v>
      </c>
      <c r="N10" s="4"/>
      <c r="P10" s="3" t="s">
        <v>448</v>
      </c>
      <c r="Q10">
        <v>1</v>
      </c>
      <c r="R10" t="s">
        <v>18</v>
      </c>
      <c r="S10" s="4"/>
      <c r="U10" s="3" t="s">
        <v>464</v>
      </c>
      <c r="V10">
        <v>27.0123</v>
      </c>
      <c r="W10" s="4" t="s">
        <v>370</v>
      </c>
    </row>
    <row r="11" spans="2:23" ht="15" thickBot="1" x14ac:dyDescent="0.35">
      <c r="B11" s="3" t="s">
        <v>260</v>
      </c>
      <c r="D11" s="40" t="s">
        <v>335</v>
      </c>
      <c r="E11" s="4"/>
      <c r="G11" s="3"/>
      <c r="J11" s="4"/>
      <c r="L11" s="3" t="s">
        <v>132</v>
      </c>
      <c r="M11" s="40">
        <v>0.03</v>
      </c>
      <c r="N11" s="4"/>
      <c r="P11" s="3" t="s">
        <v>449</v>
      </c>
      <c r="Q11">
        <v>1</v>
      </c>
      <c r="R11" t="s">
        <v>18</v>
      </c>
      <c r="S11" s="4"/>
      <c r="U11" s="5" t="s">
        <v>465</v>
      </c>
      <c r="V11" s="6">
        <v>0.54</v>
      </c>
      <c r="W11" s="7" t="s">
        <v>426</v>
      </c>
    </row>
    <row r="12" spans="2:23" x14ac:dyDescent="0.3">
      <c r="B12" s="3" t="s">
        <v>328</v>
      </c>
      <c r="D12" s="40" t="s">
        <v>336</v>
      </c>
      <c r="E12" s="4"/>
      <c r="G12" s="3"/>
      <c r="J12" s="4"/>
      <c r="L12" s="3" t="s">
        <v>432</v>
      </c>
      <c r="M12" s="40">
        <v>4</v>
      </c>
      <c r="N12" s="4"/>
      <c r="P12" s="3" t="s">
        <v>450</v>
      </c>
      <c r="Q12">
        <v>1</v>
      </c>
      <c r="R12" t="s">
        <v>18</v>
      </c>
      <c r="S12" s="4"/>
    </row>
    <row r="13" spans="2:23" ht="15" thickBot="1" x14ac:dyDescent="0.35">
      <c r="B13" s="3" t="s">
        <v>329</v>
      </c>
      <c r="D13" s="40" t="s">
        <v>337</v>
      </c>
      <c r="E13" s="4"/>
      <c r="G13" s="5" t="s">
        <v>427</v>
      </c>
      <c r="H13" s="6" t="s">
        <v>305</v>
      </c>
      <c r="I13" s="6">
        <f>I8+2.3</f>
        <v>3.5</v>
      </c>
      <c r="J13" s="7" t="s">
        <v>426</v>
      </c>
      <c r="L13" s="3" t="s">
        <v>433</v>
      </c>
      <c r="M13" s="40" t="s">
        <v>435</v>
      </c>
      <c r="N13" s="4"/>
      <c r="P13" s="3"/>
      <c r="S13" s="4"/>
    </row>
    <row r="14" spans="2:23" x14ac:dyDescent="0.3">
      <c r="B14" s="3" t="s">
        <v>330</v>
      </c>
      <c r="D14" s="40" t="s">
        <v>275</v>
      </c>
      <c r="E14" s="4"/>
      <c r="L14" s="3" t="s">
        <v>434</v>
      </c>
      <c r="M14" s="40" t="s">
        <v>436</v>
      </c>
      <c r="N14" s="4"/>
      <c r="P14" s="3"/>
      <c r="S14" s="4"/>
    </row>
    <row r="15" spans="2:23" x14ac:dyDescent="0.3">
      <c r="B15" s="3" t="s">
        <v>331</v>
      </c>
      <c r="D15" s="40">
        <v>0.4</v>
      </c>
      <c r="E15" s="4"/>
      <c r="L15" s="3"/>
      <c r="N15" s="4"/>
      <c r="P15" s="3"/>
      <c r="S15" s="4"/>
    </row>
    <row r="16" spans="2:23" x14ac:dyDescent="0.3">
      <c r="B16" s="3" t="s">
        <v>332</v>
      </c>
      <c r="D16" s="40" t="s">
        <v>338</v>
      </c>
      <c r="E16" s="4"/>
      <c r="L16" s="3" t="s">
        <v>437</v>
      </c>
      <c r="N16" s="4"/>
      <c r="P16" s="3" t="s">
        <v>452</v>
      </c>
      <c r="Q16" t="s">
        <v>305</v>
      </c>
      <c r="R16">
        <v>1.5</v>
      </c>
      <c r="S16" s="4" t="s">
        <v>426</v>
      </c>
    </row>
    <row r="17" spans="2:19" x14ac:dyDescent="0.3">
      <c r="B17" s="3" t="s">
        <v>333</v>
      </c>
      <c r="D17" s="40" t="s">
        <v>339</v>
      </c>
      <c r="E17" s="4"/>
      <c r="L17" s="3"/>
      <c r="N17" s="4"/>
      <c r="P17" s="3" t="s">
        <v>453</v>
      </c>
      <c r="Q17" t="s">
        <v>305</v>
      </c>
      <c r="R17">
        <v>1</v>
      </c>
      <c r="S17" s="4" t="s">
        <v>426</v>
      </c>
    </row>
    <row r="18" spans="2:19" ht="15" thickBot="1" x14ac:dyDescent="0.35">
      <c r="B18" s="5" t="s">
        <v>334</v>
      </c>
      <c r="C18" s="6"/>
      <c r="D18" s="42" t="s">
        <v>138</v>
      </c>
      <c r="E18" s="7"/>
      <c r="L18" s="3" t="s">
        <v>438</v>
      </c>
      <c r="N18" s="4"/>
      <c r="P18" s="3" t="s">
        <v>451</v>
      </c>
      <c r="Q18" t="s">
        <v>305</v>
      </c>
      <c r="R18">
        <f>R16+(2*R17)</f>
        <v>3.5</v>
      </c>
      <c r="S18" s="4" t="s">
        <v>426</v>
      </c>
    </row>
    <row r="19" spans="2:19" x14ac:dyDescent="0.3">
      <c r="L19" s="3" t="s">
        <v>272</v>
      </c>
      <c r="M19" t="s">
        <v>305</v>
      </c>
      <c r="N19" s="4">
        <f>3.25-1.5</f>
        <v>1.75</v>
      </c>
      <c r="P19" s="3" t="s">
        <v>454</v>
      </c>
      <c r="Q19" t="s">
        <v>305</v>
      </c>
      <c r="R19">
        <f>R18*R18</f>
        <v>12.25</v>
      </c>
      <c r="S19" s="4" t="s">
        <v>455</v>
      </c>
    </row>
    <row r="20" spans="2:19" x14ac:dyDescent="0.3">
      <c r="L20" s="3" t="s">
        <v>439</v>
      </c>
      <c r="M20" t="s">
        <v>305</v>
      </c>
      <c r="N20" s="4">
        <v>4.3959999999999999E-2</v>
      </c>
      <c r="P20" s="3"/>
      <c r="S20" s="4"/>
    </row>
    <row r="21" spans="2:19" x14ac:dyDescent="0.3">
      <c r="B21" s="24"/>
      <c r="C21" s="24"/>
      <c r="D21" s="70"/>
      <c r="E21" s="24"/>
      <c r="F21" s="24"/>
      <c r="L21" s="3" t="s">
        <v>440</v>
      </c>
      <c r="M21" t="s">
        <v>305</v>
      </c>
      <c r="N21" s="4">
        <f>N19-N20</f>
        <v>1.70604</v>
      </c>
      <c r="P21" s="3"/>
      <c r="S21" s="4"/>
    </row>
    <row r="22" spans="2:19" x14ac:dyDescent="0.3">
      <c r="B22" s="24"/>
      <c r="C22" s="24"/>
      <c r="D22" s="70"/>
      <c r="E22" s="24"/>
      <c r="F22" s="24"/>
      <c r="L22" s="3"/>
      <c r="N22" s="4"/>
      <c r="P22" s="3" t="s">
        <v>456</v>
      </c>
      <c r="Q22">
        <v>1.5</v>
      </c>
      <c r="R22" t="s">
        <v>426</v>
      </c>
      <c r="S22" s="4"/>
    </row>
    <row r="23" spans="2:19" x14ac:dyDescent="0.3">
      <c r="B23" s="24"/>
      <c r="C23" s="24"/>
      <c r="D23" s="70"/>
      <c r="E23" s="24"/>
      <c r="F23" s="24"/>
      <c r="L23" s="3" t="s">
        <v>441</v>
      </c>
      <c r="M23">
        <v>1.75</v>
      </c>
      <c r="N23" s="4" t="s">
        <v>426</v>
      </c>
      <c r="P23" s="3" t="s">
        <v>457</v>
      </c>
      <c r="Q23">
        <v>3.5</v>
      </c>
      <c r="R23" t="s">
        <v>426</v>
      </c>
      <c r="S23" s="4"/>
    </row>
    <row r="24" spans="2:19" x14ac:dyDescent="0.3">
      <c r="B24" s="24"/>
      <c r="C24" s="24"/>
      <c r="D24" s="70"/>
      <c r="E24" s="24"/>
      <c r="F24" s="24"/>
      <c r="L24" s="3" t="s">
        <v>442</v>
      </c>
      <c r="M24">
        <v>1.25</v>
      </c>
      <c r="N24" s="4" t="s">
        <v>426</v>
      </c>
      <c r="P24" s="3" t="s">
        <v>458</v>
      </c>
      <c r="Q24">
        <v>3.5</v>
      </c>
      <c r="R24" t="s">
        <v>426</v>
      </c>
      <c r="S24" s="4"/>
    </row>
    <row r="25" spans="2:19" x14ac:dyDescent="0.3">
      <c r="B25" s="24"/>
      <c r="C25" s="24"/>
      <c r="D25" s="70"/>
      <c r="E25" s="24"/>
      <c r="F25" s="24"/>
      <c r="L25" s="3" t="s">
        <v>443</v>
      </c>
      <c r="M25">
        <v>1.706</v>
      </c>
      <c r="N25" s="4" t="s">
        <v>426</v>
      </c>
      <c r="P25" s="3" t="s">
        <v>459</v>
      </c>
      <c r="Q25">
        <v>12.25</v>
      </c>
      <c r="R25" t="s">
        <v>455</v>
      </c>
      <c r="S25" s="4"/>
    </row>
    <row r="26" spans="2:19" ht="15" thickBot="1" x14ac:dyDescent="0.35">
      <c r="B26" s="24"/>
      <c r="C26" s="24"/>
      <c r="D26" s="70"/>
      <c r="E26" s="24"/>
      <c r="F26" s="24"/>
      <c r="L26" s="5" t="s">
        <v>444</v>
      </c>
      <c r="M26" s="6">
        <v>1.206</v>
      </c>
      <c r="N26" s="7" t="s">
        <v>426</v>
      </c>
      <c r="P26" s="5"/>
      <c r="Q26" s="6"/>
      <c r="R26" s="6"/>
      <c r="S26" s="7"/>
    </row>
    <row r="27" spans="2:19" x14ac:dyDescent="0.3">
      <c r="B27" s="24"/>
      <c r="C27" s="24"/>
      <c r="D27" s="70"/>
      <c r="E27" s="24"/>
      <c r="F27" s="24"/>
    </row>
    <row r="28" spans="2:19" x14ac:dyDescent="0.3">
      <c r="B28" s="24"/>
      <c r="C28" s="24"/>
      <c r="D28" s="70"/>
      <c r="E28" s="24"/>
      <c r="F28" s="24"/>
    </row>
    <row r="29" spans="2:19" x14ac:dyDescent="0.3">
      <c r="B29" s="24"/>
      <c r="C29" s="24"/>
      <c r="D29" s="70"/>
      <c r="E29" s="24"/>
      <c r="F29" s="24"/>
    </row>
    <row r="30" spans="2:19" x14ac:dyDescent="0.3">
      <c r="B30" s="24"/>
      <c r="C30" s="24"/>
      <c r="D30" s="70"/>
      <c r="E30" s="24"/>
      <c r="F30" s="24"/>
    </row>
    <row r="31" spans="2:19" x14ac:dyDescent="0.3">
      <c r="B31" s="24"/>
      <c r="C31" s="24"/>
      <c r="D31" s="70"/>
      <c r="E31" s="24"/>
      <c r="F31" s="24"/>
    </row>
    <row r="32" spans="2:19" x14ac:dyDescent="0.3">
      <c r="B32" s="24"/>
      <c r="C32" s="24"/>
      <c r="D32" s="70"/>
      <c r="E32" s="24"/>
      <c r="F32" s="24"/>
    </row>
    <row r="33" spans="2:6" x14ac:dyDescent="0.3">
      <c r="B33" s="24"/>
      <c r="C33" s="24"/>
      <c r="D33" s="70"/>
      <c r="E33" s="24"/>
      <c r="F33" s="24"/>
    </row>
    <row r="34" spans="2:6" x14ac:dyDescent="0.3">
      <c r="B34" s="24"/>
      <c r="C34" s="24"/>
      <c r="D34" s="70"/>
      <c r="E34" s="24"/>
      <c r="F34" s="24"/>
    </row>
  </sheetData>
  <mergeCells count="5">
    <mergeCell ref="L6:N6"/>
    <mergeCell ref="G6:J6"/>
    <mergeCell ref="B6:E6"/>
    <mergeCell ref="U6:W6"/>
    <mergeCell ref="P6:S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25F6-A2A4-461F-8D3F-120318F26EAC}">
  <dimension ref="B1:P31"/>
  <sheetViews>
    <sheetView workbookViewId="0">
      <selection activeCell="M23" sqref="M23"/>
    </sheetView>
  </sheetViews>
  <sheetFormatPr defaultRowHeight="14.4" x14ac:dyDescent="0.3"/>
  <cols>
    <col min="2" max="2" width="20.88671875" bestFit="1" customWidth="1"/>
    <col min="6" max="6" width="9.77734375" bestFit="1" customWidth="1"/>
    <col min="7" max="7" width="11.88671875" bestFit="1" customWidth="1"/>
    <col min="13" max="13" width="17.21875" bestFit="1" customWidth="1"/>
  </cols>
  <sheetData>
    <row r="1" spans="2:16" ht="15" thickBot="1" x14ac:dyDescent="0.35"/>
    <row r="2" spans="2:16" ht="15" thickBot="1" x14ac:dyDescent="0.35">
      <c r="B2" s="83" t="s">
        <v>466</v>
      </c>
      <c r="C2" s="84"/>
      <c r="D2" s="84"/>
      <c r="E2" s="84"/>
      <c r="F2" s="85"/>
    </row>
    <row r="4" spans="2:16" ht="15" thickBot="1" x14ac:dyDescent="0.35"/>
    <row r="5" spans="2:16" x14ac:dyDescent="0.3">
      <c r="B5" s="112" t="s">
        <v>0</v>
      </c>
      <c r="C5" s="113"/>
      <c r="D5" s="114"/>
      <c r="F5" s="73" t="s">
        <v>478</v>
      </c>
      <c r="G5" s="74" t="s">
        <v>396</v>
      </c>
      <c r="H5" s="113" t="s">
        <v>479</v>
      </c>
      <c r="I5" s="113"/>
      <c r="J5" s="113"/>
      <c r="K5" s="114"/>
      <c r="M5" s="144" t="s">
        <v>493</v>
      </c>
      <c r="N5" s="145"/>
      <c r="O5" s="145"/>
      <c r="P5" s="146"/>
    </row>
    <row r="6" spans="2:16" x14ac:dyDescent="0.3">
      <c r="B6" s="3" t="s">
        <v>1</v>
      </c>
      <c r="C6" s="40" t="s">
        <v>2</v>
      </c>
      <c r="D6" s="12" t="s">
        <v>477</v>
      </c>
      <c r="F6" s="3" t="s">
        <v>480</v>
      </c>
      <c r="G6" t="s">
        <v>485</v>
      </c>
      <c r="H6" s="155" t="s">
        <v>488</v>
      </c>
      <c r="I6" s="155"/>
      <c r="J6" s="155"/>
      <c r="K6" s="156"/>
      <c r="M6" s="3" t="s">
        <v>494</v>
      </c>
      <c r="N6" t="s">
        <v>305</v>
      </c>
      <c r="O6" s="40">
        <v>1.8</v>
      </c>
      <c r="P6" s="4" t="s">
        <v>426</v>
      </c>
    </row>
    <row r="7" spans="2:16" x14ac:dyDescent="0.3">
      <c r="B7" s="3" t="s">
        <v>467</v>
      </c>
      <c r="C7" s="40">
        <v>3.3959999999999999</v>
      </c>
      <c r="D7" s="12" t="s">
        <v>346</v>
      </c>
      <c r="F7" s="3" t="s">
        <v>481</v>
      </c>
      <c r="G7" t="s">
        <v>486</v>
      </c>
      <c r="H7" s="155" t="s">
        <v>489</v>
      </c>
      <c r="I7" s="155"/>
      <c r="J7" s="155"/>
      <c r="K7" s="156"/>
      <c r="M7" s="3"/>
      <c r="P7" s="4"/>
    </row>
    <row r="8" spans="2:16" x14ac:dyDescent="0.3">
      <c r="B8" s="3" t="s">
        <v>468</v>
      </c>
      <c r="C8" s="40">
        <v>1.5</v>
      </c>
      <c r="D8" s="12" t="s">
        <v>426</v>
      </c>
      <c r="F8" s="3" t="s">
        <v>482</v>
      </c>
      <c r="G8" t="s">
        <v>487</v>
      </c>
      <c r="H8" s="155" t="s">
        <v>490</v>
      </c>
      <c r="I8" s="155"/>
      <c r="J8" s="155"/>
      <c r="K8" s="156"/>
      <c r="M8" s="3"/>
      <c r="P8" s="4"/>
    </row>
    <row r="9" spans="2:16" x14ac:dyDescent="0.3">
      <c r="B9" s="3" t="s">
        <v>469</v>
      </c>
      <c r="C9" s="40">
        <v>2.2999999999999998</v>
      </c>
      <c r="D9" s="12" t="s">
        <v>426</v>
      </c>
      <c r="F9" s="3" t="s">
        <v>483</v>
      </c>
      <c r="G9" t="s">
        <v>112</v>
      </c>
      <c r="H9" s="155" t="s">
        <v>491</v>
      </c>
      <c r="I9" s="155"/>
      <c r="J9" s="155"/>
      <c r="K9" s="156"/>
      <c r="M9" s="3" t="s">
        <v>495</v>
      </c>
      <c r="N9" t="s">
        <v>305</v>
      </c>
      <c r="O9" s="40">
        <f>3.25-O6</f>
        <v>1.45</v>
      </c>
      <c r="P9" s="4" t="s">
        <v>426</v>
      </c>
    </row>
    <row r="10" spans="2:16" ht="15" thickBot="1" x14ac:dyDescent="0.35">
      <c r="B10" s="3" t="s">
        <v>470</v>
      </c>
      <c r="C10" s="40">
        <v>0.6</v>
      </c>
      <c r="D10" s="12" t="s">
        <v>426</v>
      </c>
      <c r="F10" s="5" t="s">
        <v>484</v>
      </c>
      <c r="G10" s="6" t="s">
        <v>114</v>
      </c>
      <c r="H10" s="153" t="s">
        <v>492</v>
      </c>
      <c r="I10" s="153"/>
      <c r="J10" s="153"/>
      <c r="K10" s="154"/>
      <c r="M10" s="3"/>
      <c r="P10" s="4"/>
    </row>
    <row r="11" spans="2:16" x14ac:dyDescent="0.3">
      <c r="B11" s="3" t="s">
        <v>471</v>
      </c>
      <c r="C11" s="40">
        <v>0.15</v>
      </c>
      <c r="D11" s="12" t="s">
        <v>426</v>
      </c>
      <c r="M11" s="23" t="s">
        <v>40</v>
      </c>
      <c r="N11" s="1" t="s">
        <v>120</v>
      </c>
      <c r="O11" s="2" t="s">
        <v>477</v>
      </c>
      <c r="P11" s="4"/>
    </row>
    <row r="12" spans="2:16" x14ac:dyDescent="0.3">
      <c r="B12" s="3" t="s">
        <v>472</v>
      </c>
      <c r="C12" s="40">
        <v>1000</v>
      </c>
      <c r="D12" s="12" t="s">
        <v>367</v>
      </c>
      <c r="M12" s="3" t="s">
        <v>496</v>
      </c>
      <c r="N12">
        <v>1.8</v>
      </c>
      <c r="O12" s="4" t="s">
        <v>426</v>
      </c>
      <c r="P12" s="4"/>
    </row>
    <row r="13" spans="2:16" x14ac:dyDescent="0.3">
      <c r="B13" s="3" t="s">
        <v>473</v>
      </c>
      <c r="C13" s="40">
        <v>1.2</v>
      </c>
      <c r="D13" s="12" t="s">
        <v>426</v>
      </c>
      <c r="M13" s="3" t="s">
        <v>475</v>
      </c>
      <c r="N13">
        <v>3.25</v>
      </c>
      <c r="O13" s="4" t="s">
        <v>426</v>
      </c>
      <c r="P13" s="4"/>
    </row>
    <row r="14" spans="2:16" ht="15" thickBot="1" x14ac:dyDescent="0.35">
      <c r="B14" s="3" t="s">
        <v>474</v>
      </c>
      <c r="C14" s="40">
        <v>2.71</v>
      </c>
      <c r="D14" s="12" t="s">
        <v>426</v>
      </c>
      <c r="M14" s="5" t="s">
        <v>497</v>
      </c>
      <c r="N14" s="6">
        <v>1.45</v>
      </c>
      <c r="O14" s="7" t="s">
        <v>426</v>
      </c>
      <c r="P14" s="4"/>
    </row>
    <row r="15" spans="2:16" ht="15" thickBot="1" x14ac:dyDescent="0.35">
      <c r="B15" s="3" t="s">
        <v>475</v>
      </c>
      <c r="C15" s="40">
        <v>3.25</v>
      </c>
      <c r="D15" s="12" t="s">
        <v>426</v>
      </c>
      <c r="M15" s="5"/>
      <c r="N15" s="6"/>
      <c r="O15" s="6"/>
      <c r="P15" s="7"/>
    </row>
    <row r="16" spans="2:16" ht="15" thickBot="1" x14ac:dyDescent="0.35">
      <c r="B16" s="5" t="s">
        <v>476</v>
      </c>
      <c r="C16" s="42">
        <v>3.5</v>
      </c>
      <c r="D16" s="13" t="s">
        <v>426</v>
      </c>
    </row>
    <row r="18" spans="2:13" x14ac:dyDescent="0.3">
      <c r="B18" s="24"/>
      <c r="C18" s="24"/>
      <c r="D18" s="24"/>
    </row>
    <row r="19" spans="2:13" x14ac:dyDescent="0.3">
      <c r="B19" s="24"/>
      <c r="C19" s="24"/>
      <c r="D19" s="24"/>
    </row>
    <row r="20" spans="2:13" x14ac:dyDescent="0.3">
      <c r="B20" s="24"/>
      <c r="C20" s="24"/>
      <c r="D20" s="24"/>
    </row>
    <row r="21" spans="2:13" x14ac:dyDescent="0.3">
      <c r="B21" s="24"/>
      <c r="C21" s="24"/>
      <c r="D21" s="24"/>
    </row>
    <row r="22" spans="2:13" x14ac:dyDescent="0.3">
      <c r="B22" s="24"/>
      <c r="C22" s="24"/>
      <c r="D22" s="24"/>
    </row>
    <row r="23" spans="2:13" x14ac:dyDescent="0.3">
      <c r="B23" s="24"/>
      <c r="C23" s="24"/>
      <c r="D23" s="24"/>
      <c r="M23" t="s">
        <v>499</v>
      </c>
    </row>
    <row r="24" spans="2:13" x14ac:dyDescent="0.3">
      <c r="B24" s="24"/>
      <c r="C24" s="24"/>
      <c r="D24" s="24"/>
    </row>
    <row r="25" spans="2:13" x14ac:dyDescent="0.3">
      <c r="B25" s="24"/>
      <c r="C25" s="24"/>
      <c r="D25" s="24"/>
    </row>
    <row r="26" spans="2:13" x14ac:dyDescent="0.3">
      <c r="B26" s="24"/>
      <c r="C26" s="24"/>
      <c r="D26" s="24"/>
    </row>
    <row r="27" spans="2:13" x14ac:dyDescent="0.3">
      <c r="B27" s="24"/>
      <c r="C27" s="24"/>
      <c r="D27" s="24"/>
    </row>
    <row r="28" spans="2:13" x14ac:dyDescent="0.3">
      <c r="B28" s="24"/>
      <c r="C28" s="24"/>
      <c r="D28" s="24"/>
    </row>
    <row r="29" spans="2:13" x14ac:dyDescent="0.3">
      <c r="B29" s="24"/>
      <c r="C29" s="24"/>
      <c r="D29" s="24"/>
    </row>
    <row r="30" spans="2:13" x14ac:dyDescent="0.3">
      <c r="B30" s="24"/>
      <c r="C30" s="24"/>
      <c r="D30" s="24"/>
    </row>
    <row r="31" spans="2:13" x14ac:dyDescent="0.3">
      <c r="B31" s="24"/>
      <c r="C31" s="24"/>
      <c r="D31" s="24"/>
    </row>
  </sheetData>
  <mergeCells count="9">
    <mergeCell ref="H10:K10"/>
    <mergeCell ref="H5:K5"/>
    <mergeCell ref="M5:P5"/>
    <mergeCell ref="B2:F2"/>
    <mergeCell ref="B5:D5"/>
    <mergeCell ref="H6:K6"/>
    <mergeCell ref="H7:K7"/>
    <mergeCell ref="H8:K8"/>
    <mergeCell ref="H9:K9"/>
  </mergeCells>
  <phoneticPr fontId="1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1300-B87D-4BFC-A68A-687D8D1F1410}">
  <dimension ref="B2:L81"/>
  <sheetViews>
    <sheetView workbookViewId="0">
      <selection activeCell="D13" sqref="D13"/>
    </sheetView>
  </sheetViews>
  <sheetFormatPr defaultRowHeight="14.4" x14ac:dyDescent="0.3"/>
  <cols>
    <col min="3" max="3" width="34" bestFit="1" customWidth="1"/>
    <col min="4" max="4" width="44.109375" bestFit="1" customWidth="1"/>
    <col min="5" max="5" width="11.88671875" bestFit="1" customWidth="1"/>
  </cols>
  <sheetData>
    <row r="2" spans="2:12" x14ac:dyDescent="0.3">
      <c r="G2" s="24"/>
      <c r="H2" s="24"/>
      <c r="I2" s="24"/>
      <c r="J2" s="24"/>
      <c r="K2" s="24"/>
      <c r="L2" s="24"/>
    </row>
    <row r="3" spans="2:12" x14ac:dyDescent="0.3">
      <c r="B3" s="101" t="s">
        <v>498</v>
      </c>
      <c r="C3" s="101"/>
      <c r="D3" s="101"/>
      <c r="E3" s="101"/>
      <c r="F3" s="101"/>
      <c r="G3" s="24"/>
      <c r="H3" s="24"/>
      <c r="I3" s="24"/>
      <c r="J3" s="24"/>
      <c r="K3" s="24"/>
      <c r="L3" s="24"/>
    </row>
    <row r="4" spans="2:12" x14ac:dyDescent="0.3">
      <c r="G4" s="24"/>
      <c r="H4" s="24"/>
      <c r="I4" s="24"/>
      <c r="J4" s="24"/>
      <c r="K4" s="24"/>
      <c r="L4" s="24"/>
    </row>
    <row r="5" spans="2:12" ht="15" thickBot="1" x14ac:dyDescent="0.35">
      <c r="G5" s="24"/>
      <c r="H5" s="24"/>
      <c r="I5" s="24"/>
      <c r="J5" s="24"/>
      <c r="K5" s="24"/>
      <c r="L5" s="24"/>
    </row>
    <row r="6" spans="2:12" x14ac:dyDescent="0.3">
      <c r="B6" s="23" t="s">
        <v>500</v>
      </c>
      <c r="C6" s="1" t="s">
        <v>396</v>
      </c>
      <c r="D6" s="1" t="s">
        <v>501</v>
      </c>
      <c r="E6" s="2" t="s">
        <v>121</v>
      </c>
      <c r="G6" s="24"/>
      <c r="H6" s="24"/>
      <c r="I6" s="24"/>
      <c r="J6" s="24"/>
      <c r="K6" s="24"/>
      <c r="L6" s="24"/>
    </row>
    <row r="7" spans="2:12" x14ac:dyDescent="0.3">
      <c r="B7" s="3" t="s">
        <v>110</v>
      </c>
      <c r="C7" t="s">
        <v>507</v>
      </c>
      <c r="D7" t="s">
        <v>517</v>
      </c>
      <c r="E7" s="4"/>
      <c r="G7" s="24"/>
      <c r="H7" s="24"/>
      <c r="I7" s="24"/>
      <c r="J7" s="24"/>
      <c r="K7" s="24"/>
      <c r="L7" s="24"/>
    </row>
    <row r="8" spans="2:12" x14ac:dyDescent="0.3">
      <c r="B8" s="3" t="s">
        <v>112</v>
      </c>
      <c r="C8" t="s">
        <v>508</v>
      </c>
      <c r="D8" t="s">
        <v>518</v>
      </c>
      <c r="E8" s="4"/>
      <c r="G8" s="24"/>
      <c r="H8" s="24"/>
      <c r="I8" s="24"/>
      <c r="J8" s="24"/>
      <c r="K8" s="24"/>
      <c r="L8" s="24"/>
    </row>
    <row r="9" spans="2:12" x14ac:dyDescent="0.3">
      <c r="B9" s="3" t="s">
        <v>114</v>
      </c>
      <c r="C9" t="s">
        <v>509</v>
      </c>
      <c r="D9" t="s">
        <v>519</v>
      </c>
      <c r="E9" s="4"/>
      <c r="G9" s="24"/>
      <c r="H9" s="24"/>
      <c r="I9" s="24"/>
      <c r="J9" s="24"/>
      <c r="K9" s="24"/>
      <c r="L9" s="24"/>
    </row>
    <row r="10" spans="2:12" x14ac:dyDescent="0.3">
      <c r="B10" s="3" t="s">
        <v>409</v>
      </c>
      <c r="C10" t="s">
        <v>510</v>
      </c>
      <c r="D10" t="s">
        <v>520</v>
      </c>
      <c r="E10" s="4"/>
      <c r="G10" s="24"/>
      <c r="H10" s="24"/>
      <c r="I10" s="24"/>
      <c r="J10" s="24"/>
      <c r="K10" s="24"/>
      <c r="L10" s="24"/>
    </row>
    <row r="11" spans="2:12" x14ac:dyDescent="0.3">
      <c r="B11" s="3" t="s">
        <v>411</v>
      </c>
      <c r="C11" t="s">
        <v>511</v>
      </c>
      <c r="D11" t="s">
        <v>521</v>
      </c>
      <c r="E11" s="4"/>
      <c r="G11" s="24"/>
      <c r="H11" s="24"/>
      <c r="I11" s="24"/>
      <c r="J11" s="24"/>
      <c r="K11" s="24"/>
      <c r="L11" s="24"/>
    </row>
    <row r="12" spans="2:12" x14ac:dyDescent="0.3">
      <c r="B12" s="3" t="s">
        <v>414</v>
      </c>
      <c r="C12" t="s">
        <v>512</v>
      </c>
      <c r="D12" t="s">
        <v>522</v>
      </c>
      <c r="E12" s="4"/>
      <c r="G12" s="24"/>
      <c r="H12" s="24"/>
      <c r="I12" s="24"/>
      <c r="J12" s="24"/>
      <c r="K12" s="24"/>
      <c r="L12" s="24"/>
    </row>
    <row r="13" spans="2:12" x14ac:dyDescent="0.3">
      <c r="B13" s="3" t="s">
        <v>502</v>
      </c>
      <c r="C13" t="s">
        <v>525</v>
      </c>
      <c r="D13" t="s">
        <v>522</v>
      </c>
      <c r="E13" s="4"/>
      <c r="G13" s="24"/>
      <c r="H13" s="24"/>
      <c r="I13" s="24"/>
      <c r="J13" s="24"/>
      <c r="K13" s="24"/>
      <c r="L13" s="24"/>
    </row>
    <row r="14" spans="2:12" x14ac:dyDescent="0.3">
      <c r="B14" s="3" t="s">
        <v>503</v>
      </c>
      <c r="C14" t="s">
        <v>513</v>
      </c>
      <c r="D14" t="s">
        <v>523</v>
      </c>
      <c r="E14" s="4"/>
      <c r="G14" s="24"/>
      <c r="H14" s="24"/>
      <c r="I14" s="24"/>
      <c r="J14" s="24"/>
      <c r="K14" s="24"/>
      <c r="L14" s="24"/>
    </row>
    <row r="15" spans="2:12" x14ac:dyDescent="0.3">
      <c r="B15" s="3" t="s">
        <v>504</v>
      </c>
      <c r="C15" t="s">
        <v>514</v>
      </c>
      <c r="D15" t="s">
        <v>524</v>
      </c>
      <c r="E15" s="4"/>
      <c r="G15" s="24"/>
      <c r="H15" s="24"/>
      <c r="I15" s="24"/>
      <c r="J15" s="24"/>
      <c r="K15" s="24"/>
      <c r="L15" s="24"/>
    </row>
    <row r="16" spans="2:12" x14ac:dyDescent="0.3">
      <c r="B16" s="3" t="s">
        <v>505</v>
      </c>
      <c r="C16" t="s">
        <v>515</v>
      </c>
      <c r="D16" t="s">
        <v>526</v>
      </c>
      <c r="E16" s="4"/>
      <c r="G16" s="24"/>
      <c r="H16" s="24"/>
      <c r="I16" s="24"/>
      <c r="J16" s="24"/>
      <c r="K16" s="24"/>
      <c r="L16" s="24"/>
    </row>
    <row r="17" spans="2:12" ht="15" thickBot="1" x14ac:dyDescent="0.35">
      <c r="B17" s="5" t="s">
        <v>506</v>
      </c>
      <c r="C17" s="6" t="s">
        <v>516</v>
      </c>
      <c r="D17" s="6" t="s">
        <v>527</v>
      </c>
      <c r="E17" s="7"/>
      <c r="G17" s="24"/>
      <c r="H17" s="24"/>
      <c r="I17" s="24"/>
      <c r="J17" s="24"/>
      <c r="K17" s="24"/>
      <c r="L17" s="24"/>
    </row>
    <row r="18" spans="2:12" x14ac:dyDescent="0.3">
      <c r="G18" s="24"/>
      <c r="H18" s="24"/>
      <c r="I18" s="24"/>
      <c r="J18" s="24"/>
      <c r="K18" s="24"/>
      <c r="L18" s="24"/>
    </row>
    <row r="19" spans="2:12" ht="15" thickBot="1" x14ac:dyDescent="0.35">
      <c r="G19" s="24"/>
      <c r="H19" s="24"/>
      <c r="I19" s="24"/>
      <c r="J19" s="24"/>
      <c r="K19" s="24"/>
      <c r="L19" s="24"/>
    </row>
    <row r="20" spans="2:12" x14ac:dyDescent="0.3">
      <c r="B20" s="80" t="s">
        <v>528</v>
      </c>
      <c r="C20" s="81"/>
      <c r="D20" s="81"/>
      <c r="E20" s="81"/>
      <c r="F20" s="82"/>
    </row>
    <row r="21" spans="2:12" x14ac:dyDescent="0.3">
      <c r="B21" s="3" t="s">
        <v>529</v>
      </c>
      <c r="C21" t="s">
        <v>530</v>
      </c>
      <c r="D21" t="s">
        <v>531</v>
      </c>
      <c r="E21" t="s">
        <v>532</v>
      </c>
      <c r="F21" s="4" t="s">
        <v>121</v>
      </c>
    </row>
    <row r="22" spans="2:12" x14ac:dyDescent="0.3">
      <c r="B22" s="3" t="s">
        <v>533</v>
      </c>
      <c r="C22" t="s">
        <v>545</v>
      </c>
      <c r="D22" t="s">
        <v>557</v>
      </c>
      <c r="E22" t="s">
        <v>568</v>
      </c>
      <c r="F22" s="4"/>
    </row>
    <row r="23" spans="2:12" x14ac:dyDescent="0.3">
      <c r="B23" s="3" t="s">
        <v>534</v>
      </c>
      <c r="C23" t="s">
        <v>546</v>
      </c>
      <c r="D23" t="s">
        <v>558</v>
      </c>
      <c r="E23" t="s">
        <v>568</v>
      </c>
      <c r="F23" s="4"/>
    </row>
    <row r="24" spans="2:12" x14ac:dyDescent="0.3">
      <c r="B24" s="3" t="s">
        <v>535</v>
      </c>
      <c r="C24" t="s">
        <v>547</v>
      </c>
      <c r="D24" t="s">
        <v>559</v>
      </c>
      <c r="E24" t="s">
        <v>568</v>
      </c>
      <c r="F24" s="4"/>
    </row>
    <row r="25" spans="2:12" x14ac:dyDescent="0.3">
      <c r="B25" s="3" t="s">
        <v>536</v>
      </c>
      <c r="C25" t="s">
        <v>548</v>
      </c>
      <c r="D25" t="s">
        <v>560</v>
      </c>
      <c r="E25" t="s">
        <v>569</v>
      </c>
      <c r="F25" s="4"/>
    </row>
    <row r="26" spans="2:12" x14ac:dyDescent="0.3">
      <c r="B26" s="3" t="s">
        <v>537</v>
      </c>
      <c r="C26" t="s">
        <v>549</v>
      </c>
      <c r="D26" t="s">
        <v>561</v>
      </c>
      <c r="E26" t="s">
        <v>569</v>
      </c>
      <c r="F26" s="4"/>
    </row>
    <row r="27" spans="2:12" x14ac:dyDescent="0.3">
      <c r="B27" s="3" t="s">
        <v>538</v>
      </c>
      <c r="C27" t="s">
        <v>550</v>
      </c>
      <c r="D27" t="s">
        <v>562</v>
      </c>
      <c r="E27" t="s">
        <v>569</v>
      </c>
      <c r="F27" s="4"/>
    </row>
    <row r="28" spans="2:12" x14ac:dyDescent="0.3">
      <c r="B28" s="3" t="s">
        <v>539</v>
      </c>
      <c r="C28" t="s">
        <v>551</v>
      </c>
      <c r="D28" t="s">
        <v>563</v>
      </c>
      <c r="E28" t="s">
        <v>569</v>
      </c>
      <c r="F28" s="4"/>
    </row>
    <row r="29" spans="2:12" x14ac:dyDescent="0.3">
      <c r="B29" s="3" t="s">
        <v>540</v>
      </c>
      <c r="C29" t="s">
        <v>552</v>
      </c>
      <c r="D29" t="s">
        <v>564</v>
      </c>
      <c r="E29" t="s">
        <v>569</v>
      </c>
      <c r="F29" s="4"/>
    </row>
    <row r="30" spans="2:12" x14ac:dyDescent="0.3">
      <c r="B30" s="3" t="s">
        <v>541</v>
      </c>
      <c r="C30" t="s">
        <v>553</v>
      </c>
      <c r="D30" t="s">
        <v>564</v>
      </c>
      <c r="E30" t="s">
        <v>569</v>
      </c>
      <c r="F30" s="4"/>
    </row>
    <row r="31" spans="2:12" x14ac:dyDescent="0.3">
      <c r="B31" s="3" t="s">
        <v>542</v>
      </c>
      <c r="C31" t="s">
        <v>554</v>
      </c>
      <c r="D31" t="s">
        <v>565</v>
      </c>
      <c r="E31" t="s">
        <v>570</v>
      </c>
      <c r="F31" s="4"/>
    </row>
    <row r="32" spans="2:12" x14ac:dyDescent="0.3">
      <c r="B32" s="3" t="s">
        <v>543</v>
      </c>
      <c r="C32" t="s">
        <v>555</v>
      </c>
      <c r="D32" t="s">
        <v>566</v>
      </c>
      <c r="E32" t="s">
        <v>570</v>
      </c>
      <c r="F32" s="4"/>
    </row>
    <row r="33" spans="2:6" ht="15" thickBot="1" x14ac:dyDescent="0.35">
      <c r="B33" s="5" t="s">
        <v>544</v>
      </c>
      <c r="C33" s="6" t="s">
        <v>556</v>
      </c>
      <c r="D33" s="6" t="s">
        <v>567</v>
      </c>
      <c r="E33" s="6" t="s">
        <v>569</v>
      </c>
      <c r="F33" s="7"/>
    </row>
    <row r="34" spans="2:6" ht="15" thickBot="1" x14ac:dyDescent="0.35"/>
    <row r="35" spans="2:6" x14ac:dyDescent="0.3">
      <c r="B35" s="80" t="s">
        <v>598</v>
      </c>
      <c r="C35" s="81"/>
      <c r="D35" s="81"/>
      <c r="E35" s="82"/>
    </row>
    <row r="36" spans="2:6" x14ac:dyDescent="0.3">
      <c r="B36" s="3" t="s">
        <v>500</v>
      </c>
      <c r="C36" t="s">
        <v>571</v>
      </c>
      <c r="D36" t="s">
        <v>572</v>
      </c>
      <c r="E36" s="4" t="s">
        <v>573</v>
      </c>
    </row>
    <row r="37" spans="2:6" x14ac:dyDescent="0.3">
      <c r="B37" s="3" t="s">
        <v>411</v>
      </c>
      <c r="C37" t="s">
        <v>582</v>
      </c>
      <c r="D37" t="s">
        <v>590</v>
      </c>
      <c r="E37" s="4"/>
    </row>
    <row r="38" spans="2:6" x14ac:dyDescent="0.3">
      <c r="B38" s="3" t="s">
        <v>574</v>
      </c>
      <c r="C38" t="s">
        <v>583</v>
      </c>
      <c r="D38" t="s">
        <v>591</v>
      </c>
      <c r="E38" s="4"/>
    </row>
    <row r="39" spans="2:6" x14ac:dyDescent="0.3">
      <c r="B39" s="3" t="s">
        <v>575</v>
      </c>
      <c r="C39" t="s">
        <v>584</v>
      </c>
      <c r="D39" t="s">
        <v>591</v>
      </c>
      <c r="E39" s="4"/>
    </row>
    <row r="40" spans="2:6" x14ac:dyDescent="0.3">
      <c r="B40" s="3" t="s">
        <v>576</v>
      </c>
      <c r="C40" t="s">
        <v>584</v>
      </c>
      <c r="D40" t="s">
        <v>592</v>
      </c>
      <c r="E40" s="4"/>
    </row>
    <row r="41" spans="2:6" ht="28.8" x14ac:dyDescent="0.3">
      <c r="B41" s="75" t="s">
        <v>577</v>
      </c>
      <c r="C41" s="76" t="s">
        <v>585</v>
      </c>
      <c r="D41" s="77" t="s">
        <v>593</v>
      </c>
      <c r="E41" s="4"/>
    </row>
    <row r="42" spans="2:6" x14ac:dyDescent="0.3">
      <c r="B42" s="3" t="s">
        <v>578</v>
      </c>
      <c r="C42" t="s">
        <v>586</v>
      </c>
      <c r="D42" t="s">
        <v>594</v>
      </c>
      <c r="E42" s="4"/>
    </row>
    <row r="43" spans="2:6" x14ac:dyDescent="0.3">
      <c r="B43" s="3" t="s">
        <v>579</v>
      </c>
      <c r="C43" t="s">
        <v>587</v>
      </c>
      <c r="D43" t="s">
        <v>595</v>
      </c>
      <c r="E43" s="4"/>
    </row>
    <row r="44" spans="2:6" x14ac:dyDescent="0.3">
      <c r="B44" s="3" t="s">
        <v>580</v>
      </c>
      <c r="C44" t="s">
        <v>588</v>
      </c>
      <c r="D44" t="s">
        <v>596</v>
      </c>
      <c r="E44" s="4"/>
    </row>
    <row r="45" spans="2:6" ht="15" thickBot="1" x14ac:dyDescent="0.35">
      <c r="B45" s="5" t="s">
        <v>581</v>
      </c>
      <c r="C45" s="6" t="s">
        <v>589</v>
      </c>
      <c r="D45" s="6" t="s">
        <v>597</v>
      </c>
      <c r="E45" s="7"/>
    </row>
    <row r="47" spans="2:6" ht="15" thickBot="1" x14ac:dyDescent="0.35"/>
    <row r="48" spans="2:6" x14ac:dyDescent="0.3">
      <c r="B48" s="80" t="s">
        <v>599</v>
      </c>
      <c r="C48" s="81"/>
      <c r="D48" s="82"/>
    </row>
    <row r="49" spans="2:4" x14ac:dyDescent="0.3">
      <c r="B49" s="39" t="s">
        <v>395</v>
      </c>
      <c r="C49" s="40" t="s">
        <v>614</v>
      </c>
      <c r="D49" s="12" t="s">
        <v>501</v>
      </c>
    </row>
    <row r="50" spans="2:4" x14ac:dyDescent="0.3">
      <c r="B50" s="3" t="s">
        <v>600</v>
      </c>
      <c r="C50" t="s">
        <v>615</v>
      </c>
      <c r="D50" s="4" t="s">
        <v>629</v>
      </c>
    </row>
    <row r="51" spans="2:4" x14ac:dyDescent="0.3">
      <c r="B51" s="3" t="s">
        <v>601</v>
      </c>
      <c r="C51" t="s">
        <v>617</v>
      </c>
      <c r="D51" s="4" t="s">
        <v>630</v>
      </c>
    </row>
    <row r="52" spans="2:4" x14ac:dyDescent="0.3">
      <c r="B52" s="3" t="s">
        <v>602</v>
      </c>
      <c r="C52" t="s">
        <v>616</v>
      </c>
      <c r="D52" s="4" t="s">
        <v>631</v>
      </c>
    </row>
    <row r="53" spans="2:4" x14ac:dyDescent="0.3">
      <c r="B53" s="3" t="s">
        <v>603</v>
      </c>
      <c r="C53" t="s">
        <v>618</v>
      </c>
      <c r="D53" s="4" t="s">
        <v>632</v>
      </c>
    </row>
    <row r="54" spans="2:4" x14ac:dyDescent="0.3">
      <c r="B54" s="3" t="s">
        <v>604</v>
      </c>
      <c r="C54" t="s">
        <v>619</v>
      </c>
      <c r="D54" s="4" t="s">
        <v>633</v>
      </c>
    </row>
    <row r="55" spans="2:4" x14ac:dyDescent="0.3">
      <c r="B55" s="3" t="s">
        <v>605</v>
      </c>
      <c r="C55" t="s">
        <v>620</v>
      </c>
      <c r="D55" s="4" t="s">
        <v>634</v>
      </c>
    </row>
    <row r="56" spans="2:4" x14ac:dyDescent="0.3">
      <c r="B56" s="3" t="s">
        <v>606</v>
      </c>
      <c r="C56" t="s">
        <v>621</v>
      </c>
      <c r="D56" s="4" t="s">
        <v>635</v>
      </c>
    </row>
    <row r="57" spans="2:4" x14ac:dyDescent="0.3">
      <c r="B57" s="3" t="s">
        <v>607</v>
      </c>
      <c r="C57" t="s">
        <v>622</v>
      </c>
      <c r="D57" s="4" t="s">
        <v>636</v>
      </c>
    </row>
    <row r="58" spans="2:4" x14ac:dyDescent="0.3">
      <c r="B58" s="3" t="s">
        <v>608</v>
      </c>
      <c r="C58" t="s">
        <v>623</v>
      </c>
      <c r="D58" s="4" t="s">
        <v>637</v>
      </c>
    </row>
    <row r="59" spans="2:4" x14ac:dyDescent="0.3">
      <c r="B59" s="3" t="s">
        <v>609</v>
      </c>
      <c r="C59" t="s">
        <v>624</v>
      </c>
      <c r="D59" s="4" t="s">
        <v>638</v>
      </c>
    </row>
    <row r="60" spans="2:4" x14ac:dyDescent="0.3">
      <c r="B60" s="3" t="s">
        <v>610</v>
      </c>
      <c r="C60" t="s">
        <v>625</v>
      </c>
      <c r="D60" s="4" t="s">
        <v>639</v>
      </c>
    </row>
    <row r="61" spans="2:4" x14ac:dyDescent="0.3">
      <c r="B61" s="3" t="s">
        <v>611</v>
      </c>
      <c r="C61" t="s">
        <v>626</v>
      </c>
      <c r="D61" s="4" t="s">
        <v>640</v>
      </c>
    </row>
    <row r="62" spans="2:4" x14ac:dyDescent="0.3">
      <c r="B62" s="3" t="s">
        <v>612</v>
      </c>
      <c r="C62" t="s">
        <v>627</v>
      </c>
      <c r="D62" s="4" t="s">
        <v>641</v>
      </c>
    </row>
    <row r="63" spans="2:4" ht="15" thickBot="1" x14ac:dyDescent="0.35">
      <c r="B63" s="5" t="s">
        <v>613</v>
      </c>
      <c r="C63" s="6" t="s">
        <v>628</v>
      </c>
      <c r="D63" s="7" t="s">
        <v>642</v>
      </c>
    </row>
    <row r="65" spans="2:4" ht="15" thickBot="1" x14ac:dyDescent="0.35"/>
    <row r="66" spans="2:4" x14ac:dyDescent="0.3">
      <c r="B66" s="80" t="s">
        <v>643</v>
      </c>
      <c r="C66" s="81"/>
      <c r="D66" s="82"/>
    </row>
    <row r="67" spans="2:4" x14ac:dyDescent="0.3">
      <c r="B67" s="3" t="s">
        <v>644</v>
      </c>
      <c r="C67" t="s">
        <v>645</v>
      </c>
      <c r="D67" s="4" t="s">
        <v>646</v>
      </c>
    </row>
    <row r="68" spans="2:4" x14ac:dyDescent="0.3">
      <c r="B68" s="3" t="s">
        <v>647</v>
      </c>
      <c r="C68" t="s">
        <v>661</v>
      </c>
      <c r="D68" s="4" t="s">
        <v>675</v>
      </c>
    </row>
    <row r="69" spans="2:4" x14ac:dyDescent="0.3">
      <c r="B69" s="3" t="s">
        <v>648</v>
      </c>
      <c r="C69" t="s">
        <v>662</v>
      </c>
      <c r="D69" s="4" t="s">
        <v>676</v>
      </c>
    </row>
    <row r="70" spans="2:4" x14ac:dyDescent="0.3">
      <c r="B70" s="3" t="s">
        <v>649</v>
      </c>
      <c r="C70" t="s">
        <v>663</v>
      </c>
      <c r="D70" s="4" t="s">
        <v>677</v>
      </c>
    </row>
    <row r="71" spans="2:4" x14ac:dyDescent="0.3">
      <c r="B71" s="3" t="s">
        <v>650</v>
      </c>
      <c r="C71" t="s">
        <v>664</v>
      </c>
      <c r="D71" s="4" t="s">
        <v>678</v>
      </c>
    </row>
    <row r="72" spans="2:4" x14ac:dyDescent="0.3">
      <c r="B72" s="3" t="s">
        <v>651</v>
      </c>
      <c r="C72" t="s">
        <v>665</v>
      </c>
      <c r="D72" s="4" t="s">
        <v>679</v>
      </c>
    </row>
    <row r="73" spans="2:4" x14ac:dyDescent="0.3">
      <c r="B73" s="3" t="s">
        <v>652</v>
      </c>
      <c r="C73" t="s">
        <v>666</v>
      </c>
      <c r="D73" s="4" t="s">
        <v>680</v>
      </c>
    </row>
    <row r="74" spans="2:4" x14ac:dyDescent="0.3">
      <c r="B74" s="3" t="s">
        <v>653</v>
      </c>
      <c r="C74" t="s">
        <v>667</v>
      </c>
      <c r="D74" s="4" t="s">
        <v>681</v>
      </c>
    </row>
    <row r="75" spans="2:4" x14ac:dyDescent="0.3">
      <c r="B75" s="3" t="s">
        <v>654</v>
      </c>
      <c r="C75" t="s">
        <v>668</v>
      </c>
      <c r="D75" s="4" t="s">
        <v>682</v>
      </c>
    </row>
    <row r="76" spans="2:4" x14ac:dyDescent="0.3">
      <c r="B76" s="3" t="s">
        <v>655</v>
      </c>
      <c r="C76" t="s">
        <v>669</v>
      </c>
      <c r="D76" s="4" t="s">
        <v>683</v>
      </c>
    </row>
    <row r="77" spans="2:4" x14ac:dyDescent="0.3">
      <c r="B77" s="3" t="s">
        <v>656</v>
      </c>
      <c r="C77" t="s">
        <v>670</v>
      </c>
      <c r="D77" s="4" t="s">
        <v>684</v>
      </c>
    </row>
    <row r="78" spans="2:4" x14ac:dyDescent="0.3">
      <c r="B78" s="3" t="s">
        <v>657</v>
      </c>
      <c r="C78" t="s">
        <v>671</v>
      </c>
      <c r="D78" s="4" t="s">
        <v>685</v>
      </c>
    </row>
    <row r="79" spans="2:4" x14ac:dyDescent="0.3">
      <c r="B79" s="3" t="s">
        <v>658</v>
      </c>
      <c r="C79" t="s">
        <v>672</v>
      </c>
      <c r="D79" s="4" t="s">
        <v>686</v>
      </c>
    </row>
    <row r="80" spans="2:4" x14ac:dyDescent="0.3">
      <c r="B80" s="3" t="s">
        <v>659</v>
      </c>
      <c r="C80" t="s">
        <v>673</v>
      </c>
      <c r="D80" s="4" t="s">
        <v>687</v>
      </c>
    </row>
    <row r="81" spans="2:4" ht="15" thickBot="1" x14ac:dyDescent="0.35">
      <c r="B81" s="5" t="s">
        <v>660</v>
      </c>
      <c r="C81" s="6" t="s">
        <v>674</v>
      </c>
      <c r="D81" s="7" t="s">
        <v>688</v>
      </c>
    </row>
  </sheetData>
  <mergeCells count="5">
    <mergeCell ref="B3:F3"/>
    <mergeCell ref="B20:F20"/>
    <mergeCell ref="B35:E35"/>
    <mergeCell ref="B48:D48"/>
    <mergeCell ref="B66:D66"/>
  </mergeCells>
  <phoneticPr fontId="10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13CA-76B8-4E77-8C6E-C87C3AD08324}">
  <dimension ref="B1:S55"/>
  <sheetViews>
    <sheetView tabSelected="1" topLeftCell="C15" workbookViewId="0">
      <selection activeCell="P20" sqref="P20"/>
    </sheetView>
  </sheetViews>
  <sheetFormatPr defaultRowHeight="14.4" x14ac:dyDescent="0.3"/>
  <cols>
    <col min="2" max="2" width="10.77734375" bestFit="1" customWidth="1"/>
    <col min="3" max="3" width="30.6640625" bestFit="1" customWidth="1"/>
    <col min="16" max="16" width="31" bestFit="1" customWidth="1"/>
    <col min="17" max="17" width="35.109375" bestFit="1" customWidth="1"/>
    <col min="18" max="18" width="19.88671875" bestFit="1" customWidth="1"/>
    <col min="19" max="19" width="9.77734375" customWidth="1"/>
  </cols>
  <sheetData>
    <row r="1" spans="2:19" ht="15" thickBot="1" x14ac:dyDescent="0.35"/>
    <row r="2" spans="2:19" ht="15" thickBot="1" x14ac:dyDescent="0.35">
      <c r="G2" s="83" t="s">
        <v>715</v>
      </c>
      <c r="H2" s="84"/>
      <c r="I2" s="84"/>
      <c r="J2" s="84"/>
      <c r="K2" s="85"/>
    </row>
    <row r="3" spans="2:19" ht="15" thickBot="1" x14ac:dyDescent="0.35">
      <c r="B3" s="62" t="s">
        <v>689</v>
      </c>
      <c r="C3" s="63" t="s">
        <v>703</v>
      </c>
      <c r="D3" s="64" t="s">
        <v>573</v>
      </c>
    </row>
    <row r="4" spans="2:19" x14ac:dyDescent="0.3">
      <c r="B4" s="3" t="s">
        <v>690</v>
      </c>
      <c r="C4" t="s">
        <v>704</v>
      </c>
      <c r="D4" s="4"/>
      <c r="F4" s="24"/>
      <c r="G4" s="24"/>
      <c r="H4" s="24"/>
      <c r="I4" s="24"/>
      <c r="J4" s="24"/>
      <c r="K4" s="24"/>
      <c r="L4" s="24"/>
      <c r="M4" s="24"/>
      <c r="O4" s="80" t="s">
        <v>716</v>
      </c>
      <c r="P4" s="81"/>
      <c r="Q4" s="81"/>
      <c r="R4" s="81"/>
      <c r="S4" s="82"/>
    </row>
    <row r="5" spans="2:19" x14ac:dyDescent="0.3">
      <c r="B5" s="3" t="s">
        <v>691</v>
      </c>
      <c r="C5" t="s">
        <v>704</v>
      </c>
      <c r="D5" s="4"/>
      <c r="F5" s="24"/>
      <c r="G5" s="24"/>
      <c r="H5" s="24"/>
      <c r="I5" s="24"/>
      <c r="J5" s="24"/>
      <c r="K5" s="24"/>
      <c r="L5" s="24"/>
      <c r="M5" s="24"/>
      <c r="O5" s="3" t="s">
        <v>717</v>
      </c>
      <c r="P5" t="s">
        <v>718</v>
      </c>
      <c r="Q5" t="s">
        <v>719</v>
      </c>
      <c r="R5" t="s">
        <v>720</v>
      </c>
      <c r="S5" s="4"/>
    </row>
    <row r="6" spans="2:19" x14ac:dyDescent="0.3">
      <c r="B6" s="3" t="s">
        <v>692</v>
      </c>
      <c r="C6" t="s">
        <v>705</v>
      </c>
      <c r="D6" s="4"/>
      <c r="F6" s="24"/>
      <c r="G6" s="24"/>
      <c r="H6" s="24"/>
      <c r="I6" s="24"/>
      <c r="J6" s="24"/>
      <c r="K6" s="24"/>
      <c r="L6" s="24"/>
      <c r="M6" s="24"/>
      <c r="O6" s="3" t="s">
        <v>721</v>
      </c>
      <c r="P6" t="s">
        <v>112</v>
      </c>
      <c r="Q6" t="s">
        <v>583</v>
      </c>
      <c r="R6" s="40" t="s">
        <v>728</v>
      </c>
      <c r="S6" s="12"/>
    </row>
    <row r="7" spans="2:19" x14ac:dyDescent="0.3">
      <c r="B7" s="3" t="s">
        <v>693</v>
      </c>
      <c r="C7" t="s">
        <v>706</v>
      </c>
      <c r="D7" s="4"/>
      <c r="F7" s="24"/>
      <c r="G7" s="24"/>
      <c r="H7" s="24"/>
      <c r="I7" s="24"/>
      <c r="J7" s="24"/>
      <c r="K7" s="24"/>
      <c r="L7" s="24"/>
      <c r="M7" s="24"/>
      <c r="O7" s="3" t="s">
        <v>722</v>
      </c>
      <c r="P7" t="s">
        <v>114</v>
      </c>
      <c r="Q7" t="s">
        <v>725</v>
      </c>
      <c r="R7" s="71" t="s">
        <v>729</v>
      </c>
      <c r="S7" s="72"/>
    </row>
    <row r="8" spans="2:19" x14ac:dyDescent="0.3">
      <c r="B8" s="3" t="s">
        <v>694</v>
      </c>
      <c r="C8" t="s">
        <v>707</v>
      </c>
      <c r="D8" s="4"/>
      <c r="F8" s="24"/>
      <c r="G8" s="24"/>
      <c r="H8" s="24"/>
      <c r="I8" s="24"/>
      <c r="J8" s="24"/>
      <c r="K8" s="24"/>
      <c r="L8" s="24"/>
      <c r="M8" s="24"/>
      <c r="O8" s="3" t="s">
        <v>535</v>
      </c>
      <c r="P8" t="s">
        <v>723</v>
      </c>
      <c r="Q8" t="s">
        <v>726</v>
      </c>
      <c r="R8" s="29" t="s">
        <v>559</v>
      </c>
      <c r="S8" s="78"/>
    </row>
    <row r="9" spans="2:19" ht="15" thickBot="1" x14ac:dyDescent="0.35">
      <c r="B9" s="3" t="s">
        <v>695</v>
      </c>
      <c r="C9" t="s">
        <v>708</v>
      </c>
      <c r="D9" s="4"/>
      <c r="F9" s="24"/>
      <c r="G9" s="24"/>
      <c r="H9" s="24"/>
      <c r="I9" s="24"/>
      <c r="J9" s="24"/>
      <c r="K9" s="24"/>
      <c r="L9" s="24"/>
      <c r="M9" s="24"/>
      <c r="O9" s="5" t="s">
        <v>536</v>
      </c>
      <c r="P9" s="6" t="s">
        <v>724</v>
      </c>
      <c r="Q9" s="6" t="s">
        <v>727</v>
      </c>
      <c r="R9" s="30" t="s">
        <v>730</v>
      </c>
      <c r="S9" s="79"/>
    </row>
    <row r="10" spans="2:19" ht="15" thickBot="1" x14ac:dyDescent="0.35">
      <c r="B10" s="3" t="s">
        <v>696</v>
      </c>
      <c r="C10" t="s">
        <v>709</v>
      </c>
      <c r="D10" s="4"/>
      <c r="F10" s="24"/>
      <c r="G10" s="24"/>
      <c r="H10" s="24"/>
      <c r="I10" s="24"/>
      <c r="J10" s="24"/>
      <c r="K10" s="24"/>
      <c r="L10" s="24"/>
      <c r="M10" s="24"/>
    </row>
    <row r="11" spans="2:19" x14ac:dyDescent="0.3">
      <c r="B11" s="3" t="s">
        <v>697</v>
      </c>
      <c r="C11" t="s">
        <v>710</v>
      </c>
      <c r="D11" s="4"/>
      <c r="F11" s="24"/>
      <c r="G11" s="24"/>
      <c r="H11" s="24"/>
      <c r="I11" s="24"/>
      <c r="J11" s="24"/>
      <c r="K11" s="24"/>
      <c r="L11" s="24"/>
      <c r="M11" s="24"/>
      <c r="O11" s="80" t="s">
        <v>731</v>
      </c>
      <c r="P11" s="81"/>
      <c r="Q11" s="81"/>
      <c r="R11" s="81"/>
      <c r="S11" s="82"/>
    </row>
    <row r="12" spans="2:19" x14ac:dyDescent="0.3">
      <c r="B12" s="3" t="s">
        <v>698</v>
      </c>
      <c r="C12" t="s">
        <v>711</v>
      </c>
      <c r="D12" s="4"/>
      <c r="F12" s="24"/>
      <c r="G12" s="24"/>
      <c r="H12" s="24"/>
      <c r="I12" s="24"/>
      <c r="J12" s="24"/>
      <c r="K12" s="24"/>
      <c r="L12" s="24"/>
      <c r="M12" s="24"/>
      <c r="O12" s="3" t="s">
        <v>732</v>
      </c>
      <c r="P12" t="s">
        <v>733</v>
      </c>
      <c r="Q12" t="s">
        <v>734</v>
      </c>
      <c r="R12" t="s">
        <v>121</v>
      </c>
      <c r="S12" s="4"/>
    </row>
    <row r="13" spans="2:19" x14ac:dyDescent="0.3">
      <c r="B13" s="3" t="s">
        <v>700</v>
      </c>
      <c r="C13" t="s">
        <v>712</v>
      </c>
      <c r="D13" s="4"/>
      <c r="F13" s="24"/>
      <c r="G13" s="24"/>
      <c r="H13" s="24"/>
      <c r="I13" s="24"/>
      <c r="J13" s="24"/>
      <c r="K13" s="24"/>
      <c r="L13" s="24"/>
      <c r="M13" s="24"/>
      <c r="O13" s="3" t="s">
        <v>696</v>
      </c>
      <c r="P13" t="s">
        <v>735</v>
      </c>
      <c r="Q13" t="s">
        <v>746</v>
      </c>
      <c r="S13" s="4"/>
    </row>
    <row r="14" spans="2:19" x14ac:dyDescent="0.3">
      <c r="B14" s="3" t="s">
        <v>701</v>
      </c>
      <c r="C14" t="s">
        <v>713</v>
      </c>
      <c r="D14" s="4"/>
      <c r="F14" s="24"/>
      <c r="G14" s="24"/>
      <c r="H14" s="24"/>
      <c r="I14" s="24"/>
      <c r="J14" s="24"/>
      <c r="K14" s="24"/>
      <c r="L14" s="24"/>
      <c r="M14" s="24"/>
      <c r="O14" s="3" t="s">
        <v>696</v>
      </c>
      <c r="P14" t="s">
        <v>736</v>
      </c>
      <c r="Q14" t="s">
        <v>747</v>
      </c>
      <c r="S14" s="4"/>
    </row>
    <row r="15" spans="2:19" ht="15" thickBot="1" x14ac:dyDescent="0.35">
      <c r="B15" s="5" t="s">
        <v>702</v>
      </c>
      <c r="C15" s="6" t="s">
        <v>714</v>
      </c>
      <c r="D15" s="7"/>
      <c r="F15" s="24"/>
      <c r="G15" s="24"/>
      <c r="H15" s="24"/>
      <c r="I15" s="24"/>
      <c r="J15" s="24"/>
      <c r="K15" s="24"/>
      <c r="L15" s="24"/>
      <c r="M15" s="24"/>
      <c r="O15" s="3" t="s">
        <v>696</v>
      </c>
      <c r="P15" t="s">
        <v>737</v>
      </c>
      <c r="Q15" t="s">
        <v>748</v>
      </c>
      <c r="S15" s="4"/>
    </row>
    <row r="16" spans="2:19" x14ac:dyDescent="0.3">
      <c r="F16" s="24"/>
      <c r="G16" s="24"/>
      <c r="H16" s="24"/>
      <c r="I16" s="24"/>
      <c r="J16" s="24"/>
      <c r="K16" s="24"/>
      <c r="L16" s="24"/>
      <c r="M16" s="24"/>
      <c r="O16" s="3" t="s">
        <v>696</v>
      </c>
      <c r="P16" t="s">
        <v>738</v>
      </c>
      <c r="Q16" t="s">
        <v>749</v>
      </c>
      <c r="S16" s="4"/>
    </row>
    <row r="17" spans="6:19" x14ac:dyDescent="0.3">
      <c r="F17" s="24"/>
      <c r="G17" s="24"/>
      <c r="H17" s="24"/>
      <c r="I17" s="24"/>
      <c r="J17" s="24"/>
      <c r="K17" s="24"/>
      <c r="L17" s="24"/>
      <c r="M17" s="24"/>
      <c r="O17" s="3" t="s">
        <v>697</v>
      </c>
      <c r="P17" t="s">
        <v>739</v>
      </c>
      <c r="Q17" t="s">
        <v>750</v>
      </c>
      <c r="S17" s="4"/>
    </row>
    <row r="18" spans="6:19" x14ac:dyDescent="0.3">
      <c r="F18" s="24"/>
      <c r="G18" s="24"/>
      <c r="H18" s="24"/>
      <c r="I18" s="24"/>
      <c r="J18" s="24"/>
      <c r="K18" s="24"/>
      <c r="L18" s="24"/>
      <c r="M18" s="24"/>
      <c r="O18" s="3" t="s">
        <v>697</v>
      </c>
      <c r="P18" t="s">
        <v>741</v>
      </c>
      <c r="Q18" t="s">
        <v>751</v>
      </c>
      <c r="S18" s="4"/>
    </row>
    <row r="19" spans="6:19" x14ac:dyDescent="0.3">
      <c r="F19" s="24"/>
      <c r="G19" s="24"/>
      <c r="H19" s="24"/>
      <c r="I19" s="24"/>
      <c r="J19" s="24"/>
      <c r="K19" s="24"/>
      <c r="L19" s="24"/>
      <c r="M19" s="24"/>
      <c r="O19" s="3" t="s">
        <v>697</v>
      </c>
      <c r="P19" t="s">
        <v>742</v>
      </c>
      <c r="Q19" t="s">
        <v>752</v>
      </c>
      <c r="S19" s="4"/>
    </row>
    <row r="20" spans="6:19" x14ac:dyDescent="0.3">
      <c r="F20" s="24"/>
      <c r="G20" s="24"/>
      <c r="H20" s="24"/>
      <c r="I20" s="24"/>
      <c r="J20" s="24"/>
      <c r="K20" s="24"/>
      <c r="L20" s="24"/>
      <c r="M20" s="24"/>
      <c r="O20" s="3" t="s">
        <v>698</v>
      </c>
      <c r="P20" t="s">
        <v>743</v>
      </c>
      <c r="Q20" t="s">
        <v>753</v>
      </c>
      <c r="S20" s="4"/>
    </row>
    <row r="21" spans="6:19" x14ac:dyDescent="0.3">
      <c r="O21" s="3" t="s">
        <v>699</v>
      </c>
      <c r="P21" t="s">
        <v>744</v>
      </c>
      <c r="Q21" t="s">
        <v>754</v>
      </c>
      <c r="S21" s="4"/>
    </row>
    <row r="22" spans="6:19" ht="15" thickBot="1" x14ac:dyDescent="0.35">
      <c r="O22" s="5" t="s">
        <v>740</v>
      </c>
      <c r="P22" s="6" t="s">
        <v>745</v>
      </c>
      <c r="Q22" s="6" t="s">
        <v>755</v>
      </c>
      <c r="R22" s="6"/>
      <c r="S22" s="7"/>
    </row>
    <row r="23" spans="6:19" ht="15" thickBot="1" x14ac:dyDescent="0.35">
      <c r="F23" s="24"/>
      <c r="G23" s="24"/>
      <c r="H23" s="24"/>
      <c r="I23" s="24"/>
      <c r="J23" s="24"/>
      <c r="K23" s="24"/>
      <c r="L23" s="24"/>
      <c r="M23" s="24"/>
    </row>
    <row r="24" spans="6:19" x14ac:dyDescent="0.3">
      <c r="F24" s="24"/>
      <c r="G24" s="24"/>
      <c r="H24" s="24"/>
      <c r="I24" s="24"/>
      <c r="J24" s="24"/>
      <c r="K24" s="24"/>
      <c r="L24" s="24"/>
      <c r="M24" s="24"/>
      <c r="O24" s="80" t="s">
        <v>756</v>
      </c>
      <c r="P24" s="81"/>
      <c r="Q24" s="81"/>
      <c r="R24" s="81"/>
      <c r="S24" s="82"/>
    </row>
    <row r="25" spans="6:19" x14ac:dyDescent="0.3">
      <c r="F25" s="24"/>
      <c r="G25" s="24"/>
      <c r="H25" s="24"/>
      <c r="I25" s="24"/>
      <c r="J25" s="24"/>
      <c r="K25" s="24"/>
      <c r="L25" s="24"/>
      <c r="M25" s="24"/>
      <c r="O25" s="3" t="s">
        <v>757</v>
      </c>
      <c r="P25" t="s">
        <v>396</v>
      </c>
      <c r="Q25" t="s">
        <v>531</v>
      </c>
      <c r="R25" t="s">
        <v>121</v>
      </c>
      <c r="S25" s="4"/>
    </row>
    <row r="26" spans="6:19" x14ac:dyDescent="0.3">
      <c r="F26" s="24"/>
      <c r="G26" s="24"/>
      <c r="H26" s="24"/>
      <c r="I26" s="24"/>
      <c r="J26" s="24"/>
      <c r="K26" s="24"/>
      <c r="L26" s="24"/>
      <c r="M26" s="24"/>
      <c r="O26" s="3" t="s">
        <v>758</v>
      </c>
      <c r="P26" t="s">
        <v>110</v>
      </c>
      <c r="Q26" t="s">
        <v>773</v>
      </c>
      <c r="S26" s="4"/>
    </row>
    <row r="27" spans="6:19" x14ac:dyDescent="0.3">
      <c r="F27" s="24"/>
      <c r="G27" s="24"/>
      <c r="H27" s="24"/>
      <c r="I27" s="24"/>
      <c r="J27" s="24"/>
      <c r="K27" s="24"/>
      <c r="L27" s="24"/>
      <c r="M27" s="24"/>
      <c r="O27" s="3" t="s">
        <v>759</v>
      </c>
      <c r="P27" t="s">
        <v>110</v>
      </c>
      <c r="Q27" t="s">
        <v>774</v>
      </c>
      <c r="S27" s="4"/>
    </row>
    <row r="28" spans="6:19" x14ac:dyDescent="0.3">
      <c r="F28" s="24"/>
      <c r="G28" s="24"/>
      <c r="H28" s="24"/>
      <c r="I28" s="24"/>
      <c r="J28" s="24"/>
      <c r="K28" s="24"/>
      <c r="L28" s="24"/>
      <c r="M28" s="24"/>
      <c r="O28" s="3" t="s">
        <v>760</v>
      </c>
      <c r="P28" t="s">
        <v>110</v>
      </c>
      <c r="Q28" t="s">
        <v>775</v>
      </c>
      <c r="S28" s="4"/>
    </row>
    <row r="29" spans="6:19" x14ac:dyDescent="0.3">
      <c r="F29" s="24"/>
      <c r="G29" s="24"/>
      <c r="H29" s="24"/>
      <c r="I29" s="24"/>
      <c r="J29" s="24"/>
      <c r="K29" s="24"/>
      <c r="L29" s="24"/>
      <c r="M29" s="24"/>
      <c r="O29" s="3" t="s">
        <v>761</v>
      </c>
      <c r="P29" t="s">
        <v>110</v>
      </c>
      <c r="Q29" t="s">
        <v>776</v>
      </c>
      <c r="S29" s="4"/>
    </row>
    <row r="30" spans="6:19" x14ac:dyDescent="0.3">
      <c r="F30" s="24"/>
      <c r="G30" s="24"/>
      <c r="H30" s="24"/>
      <c r="I30" s="24"/>
      <c r="J30" s="24"/>
      <c r="K30" s="24"/>
      <c r="L30" s="24"/>
      <c r="M30" s="24"/>
      <c r="O30" s="3" t="s">
        <v>762</v>
      </c>
      <c r="P30" t="s">
        <v>110</v>
      </c>
      <c r="Q30" t="s">
        <v>777</v>
      </c>
      <c r="S30" s="4"/>
    </row>
    <row r="31" spans="6:19" x14ac:dyDescent="0.3">
      <c r="F31" s="24"/>
      <c r="G31" s="24"/>
      <c r="H31" s="24"/>
      <c r="I31" s="24"/>
      <c r="J31" s="24"/>
      <c r="K31" s="24"/>
      <c r="L31" s="24"/>
      <c r="M31" s="24"/>
      <c r="O31" s="3" t="s">
        <v>763</v>
      </c>
      <c r="P31" t="s">
        <v>110</v>
      </c>
      <c r="Q31" t="s">
        <v>778</v>
      </c>
      <c r="S31" s="4"/>
    </row>
    <row r="32" spans="6:19" x14ac:dyDescent="0.3">
      <c r="F32" s="24"/>
      <c r="G32" s="24"/>
      <c r="H32" s="24"/>
      <c r="I32" s="24"/>
      <c r="J32" s="24"/>
      <c r="K32" s="24"/>
      <c r="L32" s="24"/>
      <c r="M32" s="24"/>
      <c r="O32" s="3" t="s">
        <v>764</v>
      </c>
      <c r="P32" t="s">
        <v>112</v>
      </c>
      <c r="Q32" t="s">
        <v>779</v>
      </c>
      <c r="S32" s="4"/>
    </row>
    <row r="33" spans="6:19" x14ac:dyDescent="0.3">
      <c r="F33" s="24"/>
      <c r="G33" s="24"/>
      <c r="H33" s="24"/>
      <c r="I33" s="24"/>
      <c r="J33" s="24"/>
      <c r="K33" s="24"/>
      <c r="L33" s="24"/>
      <c r="M33" s="24"/>
      <c r="O33" s="3" t="s">
        <v>765</v>
      </c>
      <c r="P33" t="s">
        <v>769</v>
      </c>
      <c r="Q33" t="s">
        <v>780</v>
      </c>
      <c r="S33" s="4"/>
    </row>
    <row r="34" spans="6:19" x14ac:dyDescent="0.3">
      <c r="F34" s="24"/>
      <c r="G34" s="24"/>
      <c r="H34" s="24"/>
      <c r="I34" s="24"/>
      <c r="J34" s="24"/>
      <c r="K34" s="24"/>
      <c r="L34" s="24"/>
      <c r="M34" s="24"/>
      <c r="O34" s="3" t="s">
        <v>766</v>
      </c>
      <c r="P34" t="s">
        <v>770</v>
      </c>
      <c r="Q34" t="s">
        <v>781</v>
      </c>
      <c r="S34" s="4"/>
    </row>
    <row r="35" spans="6:19" x14ac:dyDescent="0.3">
      <c r="F35" s="24"/>
      <c r="G35" s="24"/>
      <c r="H35" s="24"/>
      <c r="I35" s="24"/>
      <c r="J35" s="24"/>
      <c r="K35" s="24"/>
      <c r="L35" s="24"/>
      <c r="M35" s="24"/>
      <c r="O35" s="3" t="s">
        <v>767</v>
      </c>
      <c r="P35" t="s">
        <v>771</v>
      </c>
      <c r="Q35" t="s">
        <v>782</v>
      </c>
      <c r="S35" s="4"/>
    </row>
    <row r="36" spans="6:19" ht="15" thickBot="1" x14ac:dyDescent="0.35">
      <c r="F36" s="24"/>
      <c r="G36" s="24"/>
      <c r="H36" s="24"/>
      <c r="I36" s="24"/>
      <c r="J36" s="24"/>
      <c r="K36" s="24"/>
      <c r="L36" s="24"/>
      <c r="M36" s="24"/>
      <c r="O36" s="5" t="s">
        <v>768</v>
      </c>
      <c r="P36" s="6" t="s">
        <v>772</v>
      </c>
      <c r="Q36" s="6" t="s">
        <v>783</v>
      </c>
      <c r="R36" s="6"/>
      <c r="S36" s="7"/>
    </row>
    <row r="37" spans="6:19" ht="15" thickBot="1" x14ac:dyDescent="0.35">
      <c r="F37" s="24"/>
      <c r="G37" s="24"/>
      <c r="H37" s="24"/>
      <c r="I37" s="24"/>
      <c r="J37" s="24"/>
      <c r="K37" s="24"/>
      <c r="L37" s="24"/>
      <c r="M37" s="24"/>
    </row>
    <row r="38" spans="6:19" x14ac:dyDescent="0.3">
      <c r="F38" s="24"/>
      <c r="G38" s="24"/>
      <c r="H38" s="24"/>
      <c r="I38" s="24"/>
      <c r="J38" s="24"/>
      <c r="K38" s="24"/>
      <c r="L38" s="24"/>
      <c r="M38" s="24"/>
      <c r="O38" s="80" t="s">
        <v>784</v>
      </c>
      <c r="P38" s="81"/>
      <c r="Q38" s="81"/>
      <c r="R38" s="81"/>
      <c r="S38" s="82"/>
    </row>
    <row r="39" spans="6:19" x14ac:dyDescent="0.3">
      <c r="O39" s="3" t="s">
        <v>644</v>
      </c>
      <c r="P39" t="s">
        <v>785</v>
      </c>
      <c r="Q39" t="s">
        <v>786</v>
      </c>
      <c r="R39" t="s">
        <v>787</v>
      </c>
      <c r="S39" s="4"/>
    </row>
    <row r="40" spans="6:19" x14ac:dyDescent="0.3">
      <c r="F40" s="24"/>
      <c r="G40" s="24"/>
      <c r="H40" s="24"/>
      <c r="I40" s="24"/>
      <c r="J40" s="24"/>
      <c r="K40" s="24"/>
      <c r="L40" s="24"/>
      <c r="M40" s="24"/>
      <c r="O40" s="3" t="s">
        <v>788</v>
      </c>
      <c r="P40" t="s">
        <v>804</v>
      </c>
      <c r="Q40" t="s">
        <v>818</v>
      </c>
      <c r="R40" t="s">
        <v>824</v>
      </c>
      <c r="S40" s="4"/>
    </row>
    <row r="41" spans="6:19" x14ac:dyDescent="0.3">
      <c r="F41" s="24"/>
      <c r="G41" s="24"/>
      <c r="H41" s="24"/>
      <c r="I41" s="24"/>
      <c r="J41" s="24"/>
      <c r="K41" s="24"/>
      <c r="L41" s="24"/>
      <c r="M41" s="24"/>
      <c r="O41" s="3" t="s">
        <v>789</v>
      </c>
      <c r="P41" t="s">
        <v>805</v>
      </c>
      <c r="Q41" t="s">
        <v>818</v>
      </c>
      <c r="R41" t="s">
        <v>824</v>
      </c>
      <c r="S41" s="4"/>
    </row>
    <row r="42" spans="6:19" x14ac:dyDescent="0.3">
      <c r="F42" s="24"/>
      <c r="G42" s="24"/>
      <c r="H42" s="24"/>
      <c r="I42" s="24"/>
      <c r="J42" s="24"/>
      <c r="K42" s="24"/>
      <c r="L42" s="24"/>
      <c r="M42" s="24"/>
      <c r="O42" s="3" t="s">
        <v>790</v>
      </c>
      <c r="P42" t="s">
        <v>95</v>
      </c>
      <c r="Q42" t="s">
        <v>818</v>
      </c>
      <c r="R42" t="s">
        <v>824</v>
      </c>
      <c r="S42" s="4"/>
    </row>
    <row r="43" spans="6:19" x14ac:dyDescent="0.3">
      <c r="F43" s="24"/>
      <c r="G43" s="24"/>
      <c r="H43" s="24"/>
      <c r="I43" s="24"/>
      <c r="J43" s="24"/>
      <c r="K43" s="24"/>
      <c r="L43" s="24"/>
      <c r="M43" s="24"/>
      <c r="O43" s="3" t="s">
        <v>791</v>
      </c>
      <c r="P43" t="s">
        <v>806</v>
      </c>
      <c r="Q43" t="s">
        <v>818</v>
      </c>
      <c r="R43" t="s">
        <v>824</v>
      </c>
      <c r="S43" s="4"/>
    </row>
    <row r="44" spans="6:19" x14ac:dyDescent="0.3">
      <c r="F44" s="24"/>
      <c r="G44" s="24"/>
      <c r="H44" s="24"/>
      <c r="I44" s="24"/>
      <c r="J44" s="24"/>
      <c r="K44" s="24"/>
      <c r="L44" s="24"/>
      <c r="M44" s="24"/>
      <c r="O44" s="3" t="s">
        <v>792</v>
      </c>
      <c r="P44" t="s">
        <v>807</v>
      </c>
      <c r="Q44" t="s">
        <v>818</v>
      </c>
      <c r="R44" t="s">
        <v>824</v>
      </c>
      <c r="S44" s="4"/>
    </row>
    <row r="45" spans="6:19" x14ac:dyDescent="0.3">
      <c r="F45" s="24"/>
      <c r="G45" s="24"/>
      <c r="H45" s="24"/>
      <c r="I45" s="24"/>
      <c r="J45" s="24"/>
      <c r="K45" s="24"/>
      <c r="L45" s="24"/>
      <c r="M45" s="24"/>
      <c r="O45" s="3" t="s">
        <v>793</v>
      </c>
      <c r="P45" t="s">
        <v>808</v>
      </c>
      <c r="Q45" t="s">
        <v>818</v>
      </c>
      <c r="R45" t="s">
        <v>824</v>
      </c>
      <c r="S45" s="4"/>
    </row>
    <row r="46" spans="6:19" x14ac:dyDescent="0.3">
      <c r="F46" s="24"/>
      <c r="G46" s="24"/>
      <c r="H46" s="24"/>
      <c r="I46" s="24"/>
      <c r="J46" s="24"/>
      <c r="K46" s="24"/>
      <c r="L46" s="24"/>
      <c r="M46" s="24"/>
      <c r="O46" s="3" t="s">
        <v>794</v>
      </c>
      <c r="P46" t="s">
        <v>809</v>
      </c>
      <c r="Q46" t="s">
        <v>818</v>
      </c>
      <c r="R46" t="s">
        <v>824</v>
      </c>
      <c r="S46" s="4"/>
    </row>
    <row r="47" spans="6:19" x14ac:dyDescent="0.3">
      <c r="F47" s="24"/>
      <c r="G47" s="24"/>
      <c r="H47" s="24"/>
      <c r="I47" s="24"/>
      <c r="J47" s="24"/>
      <c r="K47" s="24"/>
      <c r="L47" s="24"/>
      <c r="M47" s="24"/>
      <c r="O47" s="3" t="s">
        <v>795</v>
      </c>
      <c r="P47" t="s">
        <v>810</v>
      </c>
      <c r="Q47" t="s">
        <v>819</v>
      </c>
      <c r="R47" t="s">
        <v>824</v>
      </c>
      <c r="S47" s="4"/>
    </row>
    <row r="48" spans="6:19" x14ac:dyDescent="0.3">
      <c r="F48" s="24"/>
      <c r="G48" s="24"/>
      <c r="H48" s="24"/>
      <c r="I48" s="24"/>
      <c r="J48" s="24"/>
      <c r="K48" s="24"/>
      <c r="L48" s="24"/>
      <c r="M48" s="24"/>
      <c r="O48" s="3" t="s">
        <v>796</v>
      </c>
      <c r="P48" t="s">
        <v>811</v>
      </c>
      <c r="Q48" t="s">
        <v>819</v>
      </c>
      <c r="R48" t="s">
        <v>824</v>
      </c>
      <c r="S48" s="4"/>
    </row>
    <row r="49" spans="6:19" x14ac:dyDescent="0.3">
      <c r="F49" s="24"/>
      <c r="G49" s="24"/>
      <c r="H49" s="24"/>
      <c r="I49" s="24"/>
      <c r="J49" s="24"/>
      <c r="K49" s="24"/>
      <c r="L49" s="24"/>
      <c r="M49" s="24"/>
      <c r="O49" s="3" t="s">
        <v>797</v>
      </c>
      <c r="P49" t="s">
        <v>812</v>
      </c>
      <c r="Q49" t="s">
        <v>127</v>
      </c>
      <c r="R49" t="s">
        <v>825</v>
      </c>
      <c r="S49" s="4"/>
    </row>
    <row r="50" spans="6:19" x14ac:dyDescent="0.3">
      <c r="F50" s="24"/>
      <c r="G50" s="24"/>
      <c r="H50" s="24"/>
      <c r="I50" s="24"/>
      <c r="J50" s="24"/>
      <c r="K50" s="24"/>
      <c r="L50" s="24"/>
      <c r="M50" s="24"/>
      <c r="O50" s="3" t="s">
        <v>798</v>
      </c>
      <c r="P50" t="s">
        <v>813</v>
      </c>
      <c r="Q50" t="s">
        <v>127</v>
      </c>
      <c r="R50" t="s">
        <v>825</v>
      </c>
      <c r="S50" s="4"/>
    </row>
    <row r="51" spans="6:19" x14ac:dyDescent="0.3">
      <c r="F51" s="24"/>
      <c r="G51" s="24"/>
      <c r="H51" s="24"/>
      <c r="I51" s="24"/>
      <c r="J51" s="24"/>
      <c r="K51" s="24"/>
      <c r="L51" s="24"/>
      <c r="M51" s="24"/>
      <c r="O51" s="3" t="s">
        <v>799</v>
      </c>
      <c r="P51" t="s">
        <v>814</v>
      </c>
      <c r="Q51" t="s">
        <v>820</v>
      </c>
      <c r="R51" t="s">
        <v>826</v>
      </c>
      <c r="S51" s="4"/>
    </row>
    <row r="52" spans="6:19" x14ac:dyDescent="0.3">
      <c r="F52" s="24"/>
      <c r="G52" s="24"/>
      <c r="H52" s="24"/>
      <c r="I52" s="24"/>
      <c r="J52" s="24"/>
      <c r="K52" s="24"/>
      <c r="L52" s="24"/>
      <c r="M52" s="24"/>
      <c r="O52" s="3" t="s">
        <v>800</v>
      </c>
      <c r="P52" t="s">
        <v>815</v>
      </c>
      <c r="Q52" t="s">
        <v>821</v>
      </c>
      <c r="R52" t="s">
        <v>18</v>
      </c>
      <c r="S52" s="4"/>
    </row>
    <row r="53" spans="6:19" x14ac:dyDescent="0.3">
      <c r="F53" s="24"/>
      <c r="G53" s="24"/>
      <c r="H53" s="24"/>
      <c r="I53" s="24"/>
      <c r="J53" s="24"/>
      <c r="K53" s="24"/>
      <c r="L53" s="24"/>
      <c r="M53" s="24"/>
      <c r="O53" s="3" t="s">
        <v>801</v>
      </c>
      <c r="P53" t="s">
        <v>816</v>
      </c>
      <c r="Q53" t="s">
        <v>822</v>
      </c>
      <c r="R53" t="s">
        <v>18</v>
      </c>
      <c r="S53" s="4"/>
    </row>
    <row r="54" spans="6:19" x14ac:dyDescent="0.3">
      <c r="F54" s="24"/>
      <c r="G54" s="24"/>
      <c r="H54" s="24"/>
      <c r="I54" s="24"/>
      <c r="J54" s="24"/>
      <c r="K54" s="24"/>
      <c r="L54" s="24"/>
      <c r="M54" s="24"/>
      <c r="O54" s="3" t="s">
        <v>802</v>
      </c>
      <c r="P54" t="s">
        <v>817</v>
      </c>
      <c r="Q54" t="s">
        <v>823</v>
      </c>
      <c r="R54" t="s">
        <v>26</v>
      </c>
      <c r="S54" s="4"/>
    </row>
    <row r="55" spans="6:19" ht="15" thickBot="1" x14ac:dyDescent="0.35">
      <c r="F55" s="24"/>
      <c r="G55" s="24"/>
      <c r="H55" s="24"/>
      <c r="I55" s="24"/>
      <c r="J55" s="24"/>
      <c r="K55" s="24"/>
      <c r="L55" s="24"/>
      <c r="M55" s="24"/>
      <c r="O55" s="5" t="s">
        <v>803</v>
      </c>
      <c r="P55" s="6"/>
      <c r="Q55" s="6" t="s">
        <v>823</v>
      </c>
      <c r="R55" s="6" t="s">
        <v>26</v>
      </c>
      <c r="S55" s="7"/>
    </row>
  </sheetData>
  <mergeCells count="5">
    <mergeCell ref="O11:S11"/>
    <mergeCell ref="O4:S4"/>
    <mergeCell ref="O24:S24"/>
    <mergeCell ref="O38:S38"/>
    <mergeCell ref="G2:K2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PRELIMINARY CALCULATION</vt:lpstr>
      <vt:lpstr>Acid wash &amp; Carbon return syste</vt:lpstr>
      <vt:lpstr>Plant Elevation &amp; Equipment Lay</vt:lpstr>
      <vt:lpstr>EQUIPMENT CAPACITY &amp; STRUCTURAL</vt:lpstr>
      <vt:lpstr>EQUIPMENT ARANGEMENT</vt:lpstr>
      <vt:lpstr>MAINTENANCE CLEARANCE &amp; ACCESS</vt:lpstr>
      <vt:lpstr>P&amp;ID Register</vt:lpstr>
      <vt:lpstr>Prelim Master GA &amp; PID Drawing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GanyuChan</dc:creator>
  <cp:lastModifiedBy>GanyuChan</cp:lastModifiedBy>
  <dcterms:created xsi:type="dcterms:W3CDTF">2026-10-11T15:48:21Z</dcterms:created>
  <dcterms:modified xsi:type="dcterms:W3CDTF">2026-10-20T04:33:53Z</dcterms:modified>
</cp:coreProperties>
</file>