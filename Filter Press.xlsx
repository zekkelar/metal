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anr\OneDrive\Documents\PT BDL\Daily Log Shet\"/>
    </mc:Choice>
  </mc:AlternateContent>
  <xr:revisionPtr revIDLastSave="0" documentId="13_ncr:1_{5B1C5E65-1A73-4872-97F1-BCBDE902A954}" xr6:coauthVersionLast="47" xr6:coauthVersionMax="47" xr10:uidLastSave="{00000000-0000-0000-0000-000000000000}"/>
  <bookViews>
    <workbookView xWindow="-110" yWindow="-110" windowWidth="19420" windowHeight="10300" firstSheet="19" activeTab="22" xr2:uid="{D82CB55E-2B92-4657-B676-5663B006F3C1}"/>
  </bookViews>
  <sheets>
    <sheet name="26 Des 2024" sheetId="1" r:id="rId1"/>
    <sheet name="27 Desember 24" sheetId="2" r:id="rId2"/>
    <sheet name="28 Desember 2024" sheetId="3" r:id="rId3"/>
    <sheet name="03 januari 25" sheetId="4" r:id="rId4"/>
    <sheet name="04 Januari 25" sheetId="5" r:id="rId5"/>
    <sheet name="Lembar4" sheetId="11" r:id="rId6"/>
    <sheet name="05 Januari 25" sheetId="6" r:id="rId7"/>
    <sheet name="06 Januari " sheetId="8" r:id="rId8"/>
    <sheet name="07 Januari" sheetId="9" r:id="rId9"/>
    <sheet name="08 Januari" sheetId="10" r:id="rId10"/>
    <sheet name="09 Januari 25" sheetId="12" r:id="rId11"/>
    <sheet name="Report Filter press 8-12" sheetId="16" r:id="rId12"/>
    <sheet name="10 Januari" sheetId="13" r:id="rId13"/>
    <sheet name="11 Januari 25" sheetId="14" r:id="rId14"/>
    <sheet name="12 Januari 25" sheetId="15" r:id="rId15"/>
    <sheet name="13 Januari" sheetId="17" r:id="rId16"/>
    <sheet name="14 Januari" sheetId="18" r:id="rId17"/>
    <sheet name="16 Januari " sheetId="19" r:id="rId18"/>
    <sheet name="17 Januari" sheetId="20" r:id="rId19"/>
    <sheet name="02 Feb 25" sheetId="21" r:id="rId20"/>
    <sheet name="Daily Report" sheetId="22" r:id="rId21"/>
    <sheet name="Moisture Cek" sheetId="23" r:id="rId22"/>
    <sheet name="Weight Per Plat" sheetId="24" r:id="rId23"/>
    <sheet name="Report Tong" sheetId="7" r:id="rId24"/>
  </sheets>
  <definedNames>
    <definedName name="_xlnm.Print_Area" localSheetId="5">Lembar4!$A$1:$L$16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22" l="1"/>
  <c r="P8" i="22"/>
  <c r="P6" i="22"/>
  <c r="O10" i="22"/>
  <c r="O8" i="22"/>
  <c r="O6" i="22"/>
  <c r="L11" i="22"/>
  <c r="M11" i="22"/>
  <c r="F7" i="24" l="1"/>
  <c r="E7" i="24"/>
  <c r="K11" i="22"/>
  <c r="F10" i="22"/>
  <c r="G10" i="22" s="1"/>
  <c r="F9" i="22"/>
  <c r="H7" i="24"/>
  <c r="G7" i="24"/>
  <c r="H5" i="24"/>
  <c r="H6" i="24"/>
  <c r="H4" i="24"/>
  <c r="G5" i="24"/>
  <c r="G6" i="24"/>
  <c r="G4" i="24"/>
  <c r="V9" i="22"/>
  <c r="E7" i="23"/>
  <c r="E6" i="23"/>
  <c r="F5" i="23"/>
  <c r="H5" i="23" s="1"/>
  <c r="E4" i="23"/>
  <c r="F4" i="23" s="1"/>
  <c r="H4" i="23" s="1"/>
  <c r="H11" i="22"/>
  <c r="J10" i="22" l="1"/>
  <c r="N10" i="22" s="1"/>
  <c r="I10" i="22"/>
  <c r="F7" i="23" l="1"/>
  <c r="H7" i="23" s="1"/>
  <c r="F6" i="23"/>
  <c r="H6" i="23" s="1"/>
  <c r="F3" i="23"/>
  <c r="H3" i="23" s="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P8" i="21"/>
  <c r="Q8" i="21" s="1"/>
  <c r="G8" i="21"/>
  <c r="Q7" i="21"/>
  <c r="P7" i="21"/>
  <c r="G7" i="21"/>
  <c r="P6" i="21"/>
  <c r="Q6" i="21" s="1"/>
  <c r="Q9" i="21" s="1"/>
  <c r="G6" i="21"/>
  <c r="G35" i="21" s="1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Q8" i="20"/>
  <c r="P8" i="20"/>
  <c r="G8" i="20"/>
  <c r="Q7" i="20"/>
  <c r="P7" i="20"/>
  <c r="G7" i="20"/>
  <c r="P6" i="20"/>
  <c r="Q6" i="20" s="1"/>
  <c r="Q9" i="20" s="1"/>
  <c r="G6" i="20"/>
  <c r="G35" i="20" s="1"/>
  <c r="G18" i="19"/>
  <c r="G17" i="19"/>
  <c r="G16" i="19"/>
  <c r="G15" i="19"/>
  <c r="G14" i="19"/>
  <c r="G13" i="19"/>
  <c r="G12" i="19"/>
  <c r="G11" i="19"/>
  <c r="G10" i="19"/>
  <c r="G9" i="19"/>
  <c r="P8" i="19"/>
  <c r="Q8" i="19" s="1"/>
  <c r="G8" i="19"/>
  <c r="Q7" i="19"/>
  <c r="P7" i="19"/>
  <c r="G7" i="19"/>
  <c r="Q6" i="19"/>
  <c r="Q9" i="19" s="1"/>
  <c r="P6" i="19"/>
  <c r="G6" i="19"/>
  <c r="G35" i="19" s="1"/>
  <c r="Q8" i="18"/>
  <c r="Q9" i="18" s="1"/>
  <c r="P8" i="18"/>
  <c r="Q7" i="18"/>
  <c r="P7" i="18"/>
  <c r="Q6" i="18"/>
  <c r="P6" i="18"/>
  <c r="G6" i="18"/>
  <c r="G35" i="18" s="1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15" i="17"/>
  <c r="G16" i="17"/>
  <c r="G14" i="17"/>
  <c r="G13" i="17"/>
  <c r="G12" i="17"/>
  <c r="G11" i="17"/>
  <c r="G10" i="17"/>
  <c r="G9" i="17"/>
  <c r="P8" i="17"/>
  <c r="Q8" i="17" s="1"/>
  <c r="G8" i="17"/>
  <c r="P7" i="17"/>
  <c r="Q7" i="17" s="1"/>
  <c r="G7" i="17"/>
  <c r="P6" i="17"/>
  <c r="Q6" i="17" s="1"/>
  <c r="Q9" i="17" s="1"/>
  <c r="G6" i="17"/>
  <c r="F9" i="16"/>
  <c r="Q9" i="14"/>
  <c r="Q6" i="14"/>
  <c r="G9" i="16"/>
  <c r="C9" i="16"/>
  <c r="D9" i="16" s="1"/>
  <c r="G5" i="16"/>
  <c r="G6" i="16"/>
  <c r="G7" i="16"/>
  <c r="G4" i="16"/>
  <c r="F5" i="16"/>
  <c r="F6" i="16"/>
  <c r="F7" i="16"/>
  <c r="F4" i="16"/>
  <c r="D5" i="16"/>
  <c r="D6" i="16"/>
  <c r="D7" i="16"/>
  <c r="D8" i="16"/>
  <c r="D4" i="16"/>
  <c r="H8" i="23" l="1"/>
  <c r="F7" i="22"/>
  <c r="G7" i="22" s="1"/>
  <c r="I7" i="22" s="1"/>
  <c r="F6" i="22"/>
  <c r="G6" i="22" s="1"/>
  <c r="I6" i="22" s="1"/>
  <c r="G9" i="22"/>
  <c r="I9" i="22" s="1"/>
  <c r="F8" i="22"/>
  <c r="G8" i="22" s="1"/>
  <c r="G35" i="17"/>
  <c r="G33" i="13"/>
  <c r="G12" i="15"/>
  <c r="G11" i="15"/>
  <c r="G10" i="15"/>
  <c r="G9" i="15"/>
  <c r="P8" i="15"/>
  <c r="Q8" i="15" s="1"/>
  <c r="Q7" i="15"/>
  <c r="P7" i="15"/>
  <c r="G7" i="15"/>
  <c r="P6" i="15"/>
  <c r="Q6" i="15" s="1"/>
  <c r="Q9" i="15" s="1"/>
  <c r="G6" i="15"/>
  <c r="J8" i="22" l="1"/>
  <c r="N8" i="22" s="1"/>
  <c r="J6" i="22"/>
  <c r="N6" i="22" s="1"/>
  <c r="N11" i="22" s="1"/>
  <c r="I8" i="22"/>
  <c r="G8" i="15"/>
  <c r="G13" i="15"/>
  <c r="G14" i="15"/>
  <c r="I11" i="22" l="1"/>
  <c r="J11" i="22"/>
  <c r="G33" i="15"/>
  <c r="J19" i="12" l="1"/>
  <c r="J33" i="12"/>
  <c r="G28" i="14" l="1"/>
  <c r="G27" i="14"/>
  <c r="G26" i="14"/>
  <c r="G20" i="14"/>
  <c r="G19" i="14"/>
  <c r="G18" i="14"/>
  <c r="L13" i="14"/>
  <c r="G13" i="14"/>
  <c r="G12" i="14"/>
  <c r="G11" i="14"/>
  <c r="P8" i="14"/>
  <c r="Q8" i="14" s="1"/>
  <c r="G8" i="14"/>
  <c r="P7" i="14"/>
  <c r="Q7" i="14" s="1"/>
  <c r="P6" i="14"/>
  <c r="G25" i="14"/>
  <c r="G6" i="14"/>
  <c r="G21" i="14" l="1"/>
  <c r="G29" i="14"/>
  <c r="G14" i="14"/>
  <c r="G22" i="14"/>
  <c r="G9" i="14"/>
  <c r="G15" i="14"/>
  <c r="G23" i="14"/>
  <c r="G16" i="14"/>
  <c r="G24" i="14"/>
  <c r="G7" i="14"/>
  <c r="G33" i="14" s="1"/>
  <c r="G10" i="14"/>
  <c r="G17" i="14"/>
  <c r="G19" i="13"/>
  <c r="G18" i="13"/>
  <c r="G17" i="13"/>
  <c r="G13" i="13"/>
  <c r="G12" i="13"/>
  <c r="G11" i="13"/>
  <c r="G10" i="13"/>
  <c r="P8" i="13"/>
  <c r="Q8" i="13" s="1"/>
  <c r="G8" i="13"/>
  <c r="P7" i="13"/>
  <c r="Q7" i="13" s="1"/>
  <c r="G7" i="13"/>
  <c r="P6" i="13"/>
  <c r="Q6" i="13" s="1"/>
  <c r="G6" i="13"/>
  <c r="G28" i="12"/>
  <c r="G29" i="12"/>
  <c r="G30" i="12"/>
  <c r="G31" i="12"/>
  <c r="G32" i="12"/>
  <c r="P6" i="12"/>
  <c r="Q6" i="12" s="1"/>
  <c r="P7" i="12"/>
  <c r="Q7" i="12" s="1"/>
  <c r="L13" i="12"/>
  <c r="P8" i="12"/>
  <c r="Q8" i="12" s="1"/>
  <c r="G20" i="12"/>
  <c r="G27" i="10"/>
  <c r="G28" i="10"/>
  <c r="Q9" i="13" l="1"/>
  <c r="G14" i="13"/>
  <c r="G9" i="13"/>
  <c r="G15" i="13"/>
  <c r="G16" i="13"/>
  <c r="G6" i="12"/>
  <c r="G8" i="12"/>
  <c r="G13" i="12"/>
  <c r="Q9" i="12"/>
  <c r="G16" i="12"/>
  <c r="G24" i="12"/>
  <c r="G21" i="12"/>
  <c r="G15" i="12"/>
  <c r="G23" i="12"/>
  <c r="G10" i="12"/>
  <c r="G25" i="12"/>
  <c r="G26" i="12"/>
  <c r="G14" i="12"/>
  <c r="G22" i="12"/>
  <c r="G9" i="12"/>
  <c r="G7" i="12"/>
  <c r="G17" i="12"/>
  <c r="G11" i="12"/>
  <c r="G18" i="12"/>
  <c r="G12" i="12"/>
  <c r="G19" i="12"/>
  <c r="G27" i="12"/>
  <c r="I6" i="9"/>
  <c r="G18" i="9" s="1"/>
  <c r="I6" i="10"/>
  <c r="G15" i="10" s="1"/>
  <c r="P7" i="10"/>
  <c r="Q7" i="10" s="1"/>
  <c r="P8" i="10"/>
  <c r="Q8" i="10" s="1"/>
  <c r="P6" i="10"/>
  <c r="Q6" i="10" s="1"/>
  <c r="L13" i="10"/>
  <c r="G21" i="9"/>
  <c r="G20" i="9"/>
  <c r="G19" i="9"/>
  <c r="G16" i="9"/>
  <c r="G15" i="9"/>
  <c r="G14" i="9"/>
  <c r="G13" i="9"/>
  <c r="G12" i="9"/>
  <c r="G11" i="9"/>
  <c r="G10" i="9"/>
  <c r="G9" i="9"/>
  <c r="Q8" i="9"/>
  <c r="P8" i="9"/>
  <c r="G8" i="9"/>
  <c r="P7" i="9"/>
  <c r="Q7" i="9" s="1"/>
  <c r="G7" i="9"/>
  <c r="P6" i="9"/>
  <c r="Q6" i="9" s="1"/>
  <c r="G6" i="9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P8" i="8"/>
  <c r="Q8" i="8" s="1"/>
  <c r="G8" i="8"/>
  <c r="P7" i="8"/>
  <c r="Q7" i="8" s="1"/>
  <c r="G7" i="8"/>
  <c r="P6" i="8"/>
  <c r="Q6" i="8" s="1"/>
  <c r="Q9" i="8" s="1"/>
  <c r="G6" i="8"/>
  <c r="F4" i="7"/>
  <c r="E4" i="7"/>
  <c r="F3" i="7"/>
  <c r="E3" i="7"/>
  <c r="H33" i="4"/>
  <c r="G33" i="12" l="1"/>
  <c r="G17" i="9"/>
  <c r="G22" i="9" s="1"/>
  <c r="G16" i="10"/>
  <c r="G9" i="10"/>
  <c r="G26" i="10"/>
  <c r="G19" i="10"/>
  <c r="G20" i="10"/>
  <c r="G13" i="10"/>
  <c r="G23" i="10"/>
  <c r="G6" i="10"/>
  <c r="G14" i="10"/>
  <c r="G22" i="10"/>
  <c r="G8" i="10"/>
  <c r="G17" i="10"/>
  <c r="G10" i="10"/>
  <c r="G18" i="10"/>
  <c r="G11" i="10"/>
  <c r="G25" i="10"/>
  <c r="G12" i="10"/>
  <c r="G24" i="10"/>
  <c r="G21" i="10"/>
  <c r="G7" i="10"/>
  <c r="G22" i="8"/>
  <c r="Q9" i="10"/>
  <c r="Q9" i="9"/>
  <c r="G22" i="5"/>
  <c r="R9" i="4"/>
  <c r="S9" i="4" s="1"/>
  <c r="R8" i="4"/>
  <c r="S8" i="4" s="1"/>
  <c r="R7" i="4"/>
  <c r="S7" i="4" s="1"/>
  <c r="P8" i="6"/>
  <c r="Q8" i="6" s="1"/>
  <c r="P7" i="6"/>
  <c r="Q7" i="6" s="1"/>
  <c r="P6" i="6"/>
  <c r="Q6" i="6" s="1"/>
  <c r="P7" i="5"/>
  <c r="Q7" i="5" s="1"/>
  <c r="P8" i="5"/>
  <c r="Q8" i="5" s="1"/>
  <c r="P6" i="5"/>
  <c r="Q6" i="5" s="1"/>
  <c r="E33" i="4"/>
  <c r="Q9" i="6" l="1"/>
  <c r="S10" i="4"/>
  <c r="G18" i="6"/>
  <c r="G14" i="6"/>
  <c r="G10" i="6"/>
  <c r="G6" i="6"/>
  <c r="G21" i="6"/>
  <c r="G17" i="6"/>
  <c r="G13" i="6"/>
  <c r="G19" i="6"/>
  <c r="G15" i="6"/>
  <c r="G11" i="6"/>
  <c r="G8" i="6"/>
  <c r="G9" i="6"/>
  <c r="G7" i="6"/>
  <c r="G20" i="6"/>
  <c r="G16" i="6"/>
  <c r="G12" i="6"/>
  <c r="Q9" i="5"/>
  <c r="F10" i="5" s="1"/>
  <c r="G10" i="5" s="1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7" i="4"/>
  <c r="H12" i="4"/>
  <c r="H11" i="4"/>
  <c r="H10" i="4"/>
  <c r="H9" i="4"/>
  <c r="H8" i="4"/>
  <c r="Q24" i="2"/>
  <c r="R22" i="2" s="1"/>
  <c r="S22" i="2" s="1"/>
  <c r="Q23" i="2"/>
  <c r="Q22" i="2"/>
  <c r="I33" i="2"/>
  <c r="I34" i="2"/>
  <c r="I35" i="2"/>
  <c r="I36" i="2"/>
  <c r="I37" i="2"/>
  <c r="I38" i="2"/>
  <c r="I39" i="2"/>
  <c r="I30" i="2"/>
  <c r="I31" i="2"/>
  <c r="I32" i="2"/>
  <c r="G22" i="6" l="1"/>
  <c r="F12" i="5"/>
  <c r="G12" i="5" s="1"/>
  <c r="F11" i="5"/>
  <c r="G11" i="5" s="1"/>
  <c r="F14" i="5"/>
  <c r="G14" i="5" s="1"/>
  <c r="F19" i="5"/>
  <c r="G19" i="5" s="1"/>
  <c r="F21" i="5"/>
  <c r="G21" i="5" s="1"/>
  <c r="F9" i="5"/>
  <c r="G9" i="5" s="1"/>
  <c r="F6" i="5"/>
  <c r="G6" i="5" s="1"/>
  <c r="F15" i="5"/>
  <c r="G15" i="5" s="1"/>
  <c r="F17" i="5"/>
  <c r="G17" i="5" s="1"/>
  <c r="F16" i="5"/>
  <c r="G16" i="5" s="1"/>
  <c r="F13" i="5"/>
  <c r="G13" i="5" s="1"/>
  <c r="F20" i="5"/>
  <c r="G20" i="5" s="1"/>
  <c r="F8" i="5"/>
  <c r="G8" i="5" s="1"/>
  <c r="F18" i="5"/>
  <c r="G18" i="5" s="1"/>
  <c r="F7" i="5"/>
  <c r="G7" i="5" s="1"/>
  <c r="I29" i="2"/>
  <c r="I28" i="2"/>
  <c r="I27" i="2"/>
  <c r="I26" i="2"/>
  <c r="I25" i="2"/>
  <c r="I24" i="2"/>
  <c r="I23" i="2"/>
  <c r="I22" i="2"/>
  <c r="I21" i="2"/>
  <c r="Q5" i="2"/>
  <c r="R5" i="2" s="1"/>
  <c r="S5" i="2" s="1"/>
  <c r="R5" i="1"/>
  <c r="Q5" i="1"/>
  <c r="P5" i="1"/>
  <c r="H27" i="1"/>
  <c r="H28" i="1"/>
  <c r="H29" i="1"/>
  <c r="H30" i="1"/>
  <c r="H19" i="1"/>
  <c r="H26" i="1"/>
  <c r="H25" i="1"/>
  <c r="H24" i="1"/>
  <c r="H23" i="1"/>
  <c r="H22" i="1"/>
  <c r="H21" i="1"/>
  <c r="H20" i="1"/>
  <c r="H7" i="1"/>
  <c r="H8" i="1"/>
  <c r="H9" i="1"/>
  <c r="H10" i="1"/>
  <c r="H11" i="1"/>
  <c r="H12" i="1"/>
  <c r="H13" i="1"/>
  <c r="H6" i="1"/>
</calcChain>
</file>

<file path=xl/sharedStrings.xml><?xml version="1.0" encoding="utf-8"?>
<sst xmlns="http://schemas.openxmlformats.org/spreadsheetml/2006/main" count="727" uniqueCount="84">
  <si>
    <t>No</t>
  </si>
  <si>
    <t>Batch Proses Siklus Filter Press</t>
  </si>
  <si>
    <t>Time Start</t>
  </si>
  <si>
    <t>Time Stop</t>
  </si>
  <si>
    <t>Catatan Proses</t>
  </si>
  <si>
    <t>Selesai</t>
  </si>
  <si>
    <t>Moisture %</t>
  </si>
  <si>
    <t>ton/siklus (wet solid)</t>
  </si>
  <si>
    <t>Shift Day</t>
  </si>
  <si>
    <t>Tonage/Siklus  (dry solid)</t>
  </si>
  <si>
    <t>Down Time Proses</t>
  </si>
  <si>
    <t>Reason</t>
  </si>
  <si>
    <t>Masalah pada genset</t>
  </si>
  <si>
    <t>Down Time (mins)</t>
  </si>
  <si>
    <t>Avibiality (%)</t>
  </si>
  <si>
    <t>Run Hour</t>
  </si>
  <si>
    <t xml:space="preserve">Total </t>
  </si>
  <si>
    <t>PIC</t>
  </si>
  <si>
    <t>Deo</t>
  </si>
  <si>
    <t xml:space="preserve">Septian </t>
  </si>
  <si>
    <t>tong/selesai</t>
  </si>
  <si>
    <t>tonage/siklus</t>
  </si>
  <si>
    <t>Total</t>
  </si>
  <si>
    <t>Siklus</t>
  </si>
  <si>
    <t>Material tong</t>
  </si>
  <si>
    <t>Berat Tray</t>
  </si>
  <si>
    <t>Wet Sampel</t>
  </si>
  <si>
    <t>Dry Sampel</t>
  </si>
  <si>
    <t>Sampling %Moisture Material</t>
  </si>
  <si>
    <t>%Moisture</t>
  </si>
  <si>
    <t>Dry Sampel + Tray</t>
  </si>
  <si>
    <t>%moisture</t>
  </si>
  <si>
    <t>Average</t>
  </si>
  <si>
    <t>Tonage/Siklus</t>
  </si>
  <si>
    <t>Date</t>
  </si>
  <si>
    <t>Siklus/Day</t>
  </si>
  <si>
    <t>Wet Material (ton)</t>
  </si>
  <si>
    <t>Dry material (ton)</t>
  </si>
  <si>
    <t>tonage/siklus (wet material ton)</t>
  </si>
  <si>
    <t>Time Proses</t>
  </si>
  <si>
    <t>Temp</t>
  </si>
  <si>
    <t>Ampere</t>
  </si>
  <si>
    <t>Voltase</t>
  </si>
  <si>
    <t>Stop</t>
  </si>
  <si>
    <t>Start</t>
  </si>
  <si>
    <t>Keterangan</t>
  </si>
  <si>
    <t>CN</t>
  </si>
  <si>
    <t>Total siklus</t>
  </si>
  <si>
    <t>moisture%</t>
  </si>
  <si>
    <t>tpd (ton/day)</t>
  </si>
  <si>
    <t>wmt(wet metrix ton)</t>
  </si>
  <si>
    <t>dmt (dry metrix ton)</t>
  </si>
  <si>
    <t>Berat Tray (kg)</t>
  </si>
  <si>
    <t>Wet Sampel (kg)</t>
  </si>
  <si>
    <t>Dry Sampel + Tray (kg)</t>
  </si>
  <si>
    <t>Dry Sampel (kg)</t>
  </si>
  <si>
    <t>Tanggal</t>
  </si>
  <si>
    <t>Shift</t>
  </si>
  <si>
    <t>Siklus/Shift</t>
  </si>
  <si>
    <t>WMT ( Wet metrix ton)</t>
  </si>
  <si>
    <t>DMT (dry metrix ton)</t>
  </si>
  <si>
    <t>Tpd (Tonage/Day)</t>
  </si>
  <si>
    <t>Day</t>
  </si>
  <si>
    <t>Night</t>
  </si>
  <si>
    <t>Dry sampel (gr)</t>
  </si>
  <si>
    <t>Dry Sampel + Tray (gr)</t>
  </si>
  <si>
    <t>Wet Sampel (gr)</t>
  </si>
  <si>
    <t>Berat Tray (gr)</t>
  </si>
  <si>
    <t>Lab AAS Result Gold Au (ppm)</t>
  </si>
  <si>
    <t>Tph (ton/hour)</t>
  </si>
  <si>
    <t>Filter Press Production November 2025</t>
  </si>
  <si>
    <t>Batch 6</t>
  </si>
  <si>
    <t xml:space="preserve">Average </t>
  </si>
  <si>
    <t>Total Production November</t>
  </si>
  <si>
    <t>Weight (kg)</t>
  </si>
  <si>
    <t>Mositure (%)</t>
  </si>
  <si>
    <t xml:space="preserve">Tonage/Siklus (Wet) </t>
  </si>
  <si>
    <t xml:space="preserve">Tonage/Siklus (Dry) </t>
  </si>
  <si>
    <t>AVERAGE</t>
  </si>
  <si>
    <t xml:space="preserve"> Gold Au (gr) to tailing</t>
  </si>
  <si>
    <t>Silver Ag (gr) to tailing</t>
  </si>
  <si>
    <t>Copper Cu (gr) to tailing</t>
  </si>
  <si>
    <t>Lab AAS Result Silver Ag (ppm)</t>
  </si>
  <si>
    <t>Lab AAS Result Copper Cu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</si>
</sst>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0.0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20" fontId="0" fillId="2" borderId="0" xfId="0" applyNumberFormat="1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2" fillId="3" borderId="1" xfId="0" applyFont="1" applyFill="1" applyBorder="1"/>
    <xf numFmtId="164" fontId="2" fillId="2" borderId="1" xfId="1" applyNumberFormat="1" applyFont="1" applyFill="1" applyBorder="1"/>
    <xf numFmtId="43" fontId="2" fillId="2" borderId="1" xfId="0" applyNumberFormat="1" applyFont="1" applyFill="1" applyBorder="1"/>
    <xf numFmtId="9" fontId="2" fillId="2" borderId="1" xfId="2" applyFont="1" applyFill="1" applyBorder="1"/>
    <xf numFmtId="164" fontId="2" fillId="2" borderId="1" xfId="0" applyNumberFormat="1" applyFont="1" applyFill="1" applyBorder="1"/>
    <xf numFmtId="0" fontId="4" fillId="2" borderId="0" xfId="0" applyFont="1" applyFill="1" applyAlignment="1">
      <alignment horizontal="center"/>
    </xf>
    <xf numFmtId="20" fontId="4" fillId="2" borderId="0" xfId="0" applyNumberFormat="1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20" fontId="0" fillId="2" borderId="0" xfId="0" applyNumberFormat="1" applyFill="1" applyAlignment="1">
      <alignment horizontal="center"/>
    </xf>
    <xf numFmtId="165" fontId="0" fillId="2" borderId="0" xfId="0" applyNumberFormat="1" applyFill="1"/>
    <xf numFmtId="9" fontId="0" fillId="2" borderId="1" xfId="0" applyNumberFormat="1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2" fontId="0" fillId="2" borderId="1" xfId="0" applyNumberFormat="1" applyFill="1" applyBorder="1"/>
    <xf numFmtId="0" fontId="2" fillId="4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14" fontId="0" fillId="2" borderId="1" xfId="0" applyNumberFormat="1" applyFill="1" applyBorder="1"/>
    <xf numFmtId="164" fontId="0" fillId="2" borderId="1" xfId="1" applyNumberFormat="1" applyFont="1" applyFill="1" applyBorder="1" applyAlignment="1"/>
    <xf numFmtId="164" fontId="0" fillId="2" borderId="1" xfId="0" applyNumberFormat="1" applyFill="1" applyBorder="1"/>
    <xf numFmtId="0" fontId="0" fillId="4" borderId="1" xfId="0" applyFill="1" applyBorder="1" applyAlignment="1">
      <alignment horizontal="center"/>
    </xf>
    <xf numFmtId="9" fontId="0" fillId="2" borderId="1" xfId="0" applyNumberFormat="1" applyFill="1" applyBorder="1"/>
    <xf numFmtId="166" fontId="0" fillId="2" borderId="1" xfId="0" applyNumberFormat="1" applyFill="1" applyBorder="1" applyAlignment="1">
      <alignment horizontal="center"/>
    </xf>
    <xf numFmtId="9" fontId="0" fillId="2" borderId="0" xfId="2" applyFont="1" applyFill="1"/>
    <xf numFmtId="1" fontId="2" fillId="4" borderId="1" xfId="0" applyNumberFormat="1" applyFont="1" applyFill="1" applyBorder="1" applyAlignment="1">
      <alignment horizontal="center"/>
    </xf>
    <xf numFmtId="2" fontId="0" fillId="2" borderId="0" xfId="0" applyNumberFormat="1" applyFill="1"/>
    <xf numFmtId="1" fontId="0" fillId="2" borderId="1" xfId="0" applyNumberForma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5" borderId="1" xfId="0" applyFill="1" applyBorder="1"/>
    <xf numFmtId="9" fontId="0" fillId="2" borderId="0" xfId="0" applyNumberFormat="1" applyFill="1"/>
    <xf numFmtId="0" fontId="0" fillId="2" borderId="11" xfId="0" applyFill="1" applyBorder="1"/>
    <xf numFmtId="0" fontId="0" fillId="2" borderId="11" xfId="0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9" fontId="0" fillId="2" borderId="11" xfId="2" applyFont="1" applyFill="1" applyBorder="1" applyAlignment="1">
      <alignment horizontal="center"/>
    </xf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0" xfId="0" applyNumberFormat="1" applyFill="1"/>
    <xf numFmtId="9" fontId="0" fillId="2" borderId="0" xfId="2" applyFont="1" applyFill="1" applyAlignment="1">
      <alignment horizontal="center"/>
    </xf>
    <xf numFmtId="164" fontId="0" fillId="2" borderId="12" xfId="1" applyNumberFormat="1" applyFont="1" applyFill="1" applyBorder="1" applyAlignment="1">
      <alignment horizontal="center"/>
    </xf>
    <xf numFmtId="164" fontId="0" fillId="2" borderId="14" xfId="1" applyNumberFormat="1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2" xfId="0" applyFont="1" applyFill="1" applyBorder="1"/>
    <xf numFmtId="0" fontId="2" fillId="5" borderId="12" xfId="0" applyFont="1" applyFill="1" applyBorder="1" applyAlignment="1">
      <alignment horizontal="center"/>
    </xf>
    <xf numFmtId="0" fontId="2" fillId="5" borderId="19" xfId="0" applyFont="1" applyFill="1" applyBorder="1"/>
    <xf numFmtId="0" fontId="6" fillId="4" borderId="2" xfId="0" applyFont="1" applyFill="1" applyBorder="1" applyAlignment="1">
      <alignment horizontal="center"/>
    </xf>
    <xf numFmtId="9" fontId="0" fillId="2" borderId="0" xfId="2" applyFont="1" applyFill="1" applyAlignment="1"/>
    <xf numFmtId="9" fontId="2" fillId="5" borderId="12" xfId="2" applyFont="1" applyFill="1" applyBorder="1" applyAlignment="1">
      <alignment horizontal="center"/>
    </xf>
    <xf numFmtId="9" fontId="0" fillId="2" borderId="14" xfId="2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5" fontId="0" fillId="2" borderId="26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9" fontId="0" fillId="2" borderId="6" xfId="2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7" xfId="0" applyFill="1" applyBorder="1" applyAlignment="1">
      <alignment horizontal="center" vertical="center"/>
    </xf>
    <xf numFmtId="166" fontId="0" fillId="2" borderId="25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vertical="center"/>
    </xf>
    <xf numFmtId="0" fontId="7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9" fontId="8" fillId="2" borderId="1" xfId="2" applyFont="1" applyFill="1" applyBorder="1" applyAlignment="1">
      <alignment horizontal="center"/>
    </xf>
    <xf numFmtId="0" fontId="7" fillId="4" borderId="1" xfId="0" applyFont="1" applyFill="1" applyBorder="1" applyAlignment="1">
      <alignment vertical="center"/>
    </xf>
    <xf numFmtId="1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9" fontId="7" fillId="4" borderId="1" xfId="2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3" fontId="2" fillId="2" borderId="2" xfId="0" applyNumberFormat="1" applyFont="1" applyFill="1" applyBorder="1" applyAlignment="1">
      <alignment horizontal="center" vertical="center"/>
    </xf>
    <xf numFmtId="43" fontId="2" fillId="2" borderId="6" xfId="0" applyNumberFormat="1" applyFont="1" applyFill="1" applyBorder="1" applyAlignment="1">
      <alignment horizontal="center" vertical="center"/>
    </xf>
    <xf numFmtId="43" fontId="2" fillId="2" borderId="3" xfId="0" applyNumberFormat="1" applyFont="1" applyFill="1" applyBorder="1" applyAlignment="1">
      <alignment horizontal="center" vertical="center"/>
    </xf>
    <xf numFmtId="9" fontId="2" fillId="2" borderId="2" xfId="2" applyFont="1" applyFill="1" applyBorder="1" applyAlignment="1">
      <alignment horizontal="center" vertical="center"/>
    </xf>
    <xf numFmtId="9" fontId="2" fillId="2" borderId="6" xfId="2" applyFont="1" applyFill="1" applyBorder="1" applyAlignment="1">
      <alignment horizontal="center" vertical="center"/>
    </xf>
    <xf numFmtId="9" fontId="2" fillId="2" borderId="3" xfId="2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20" fontId="2" fillId="4" borderId="4" xfId="0" applyNumberFormat="1" applyFont="1" applyFill="1" applyBorder="1" applyAlignment="1">
      <alignment horizontal="center"/>
    </xf>
    <xf numFmtId="20" fontId="2" fillId="4" borderId="8" xfId="0" applyNumberFormat="1" applyFont="1" applyFill="1" applyBorder="1" applyAlignment="1">
      <alignment horizontal="center"/>
    </xf>
    <xf numFmtId="20" fontId="2" fillId="4" borderId="5" xfId="0" applyNumberFormat="1" applyFont="1" applyFill="1" applyBorder="1" applyAlignment="1">
      <alignment horizontal="center"/>
    </xf>
    <xf numFmtId="1" fontId="0" fillId="2" borderId="22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19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1" fontId="0" fillId="2" borderId="20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15" fontId="0" fillId="2" borderId="10" xfId="0" applyNumberFormat="1" applyFill="1" applyBorder="1" applyAlignment="1">
      <alignment horizontal="center" vertical="center"/>
    </xf>
    <xf numFmtId="15" fontId="0" fillId="2" borderId="13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0" fillId="2" borderId="24" xfId="0" applyNumberFormat="1" applyFill="1" applyBorder="1" applyAlignment="1">
      <alignment horizontal="center" vertical="center"/>
    </xf>
    <xf numFmtId="2" fontId="0" fillId="2" borderId="23" xfId="0" applyNumberFormat="1" applyFill="1" applyBorder="1" applyAlignment="1">
      <alignment horizontal="center" vertical="center"/>
    </xf>
    <xf numFmtId="2" fontId="0" fillId="2" borderId="22" xfId="0" applyNumberForma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" fontId="2" fillId="7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9" fontId="2" fillId="7" borderId="8" xfId="2" applyFont="1" applyFill="1" applyBorder="1" applyAlignment="1">
      <alignment horizontal="center"/>
    </xf>
    <xf numFmtId="2" fontId="0" fillId="2" borderId="15" xfId="0" applyNumberFormat="1" applyFill="1" applyBorder="1" applyAlignment="1">
      <alignment horizontal="center" vertical="center"/>
    </xf>
    <xf numFmtId="2" fontId="0" fillId="2" borderId="28" xfId="0" applyNumberFormat="1" applyFill="1" applyBorder="1" applyAlignment="1">
      <alignment horizontal="center" vertical="center"/>
    </xf>
    <xf numFmtId="2" fontId="0" fillId="2" borderId="27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132A-C9E0-4127-A2CD-081D6032B99E}">
  <dimension ref="C3:R30"/>
  <sheetViews>
    <sheetView workbookViewId="0">
      <selection activeCell="F10" sqref="C3:H13"/>
    </sheetView>
  </sheetViews>
  <sheetFormatPr defaultRowHeight="14.5" x14ac:dyDescent="0.35"/>
  <cols>
    <col min="1" max="3" width="8.7265625" style="1"/>
    <col min="4" max="4" width="11.36328125" style="1" customWidth="1"/>
    <col min="5" max="5" width="17.08984375" style="1" customWidth="1"/>
    <col min="6" max="6" width="13.26953125" style="1" bestFit="1" customWidth="1"/>
    <col min="7" max="7" width="11.1796875" style="1" customWidth="1"/>
    <col min="8" max="8" width="21.90625" style="1" bestFit="1" customWidth="1"/>
    <col min="9" max="9" width="8.7265625" style="1"/>
    <col min="10" max="10" width="18.36328125" style="1" bestFit="1" customWidth="1"/>
    <col min="11" max="12" width="8.7265625" style="1"/>
    <col min="13" max="13" width="16.26953125" style="1" bestFit="1" customWidth="1"/>
    <col min="14" max="14" width="9.26953125" style="1" bestFit="1" customWidth="1"/>
    <col min="15" max="15" width="18.6328125" style="1" bestFit="1" customWidth="1"/>
    <col min="16" max="16" width="16.08984375" style="1" bestFit="1" customWidth="1"/>
    <col min="17" max="17" width="8.7265625" style="1"/>
    <col min="18" max="18" width="11.54296875" style="1" bestFit="1" customWidth="1"/>
    <col min="19" max="16384" width="8.7265625" style="1"/>
  </cols>
  <sheetData>
    <row r="3" spans="3:18" x14ac:dyDescent="0.35">
      <c r="C3" s="1" t="s">
        <v>8</v>
      </c>
      <c r="M3" s="88" t="s">
        <v>10</v>
      </c>
      <c r="N3" s="88"/>
      <c r="O3" s="89" t="s">
        <v>11</v>
      </c>
      <c r="P3" s="86" t="s">
        <v>13</v>
      </c>
      <c r="Q3" s="86" t="s">
        <v>15</v>
      </c>
      <c r="R3" s="86" t="s">
        <v>14</v>
      </c>
    </row>
    <row r="4" spans="3:18" x14ac:dyDescent="0.35">
      <c r="C4" s="84" t="s">
        <v>0</v>
      </c>
      <c r="D4" s="85" t="s">
        <v>1</v>
      </c>
      <c r="E4" s="85"/>
      <c r="F4" s="86" t="s">
        <v>4</v>
      </c>
      <c r="G4" s="86" t="s">
        <v>6</v>
      </c>
      <c r="H4" s="84" t="s">
        <v>9</v>
      </c>
      <c r="M4" s="6" t="s">
        <v>3</v>
      </c>
      <c r="N4" s="6" t="s">
        <v>2</v>
      </c>
      <c r="O4" s="90"/>
      <c r="P4" s="87"/>
      <c r="Q4" s="87"/>
      <c r="R4" s="87"/>
    </row>
    <row r="5" spans="3:18" x14ac:dyDescent="0.35">
      <c r="C5" s="84"/>
      <c r="D5" s="8" t="s">
        <v>2</v>
      </c>
      <c r="E5" s="8" t="s">
        <v>3</v>
      </c>
      <c r="F5" s="87"/>
      <c r="G5" s="87"/>
      <c r="H5" s="84"/>
      <c r="J5" s="10" t="s">
        <v>7</v>
      </c>
      <c r="M5" s="9">
        <v>0.33611111111111114</v>
      </c>
      <c r="N5" s="9">
        <v>0.40208333333333335</v>
      </c>
      <c r="O5" s="5" t="s">
        <v>12</v>
      </c>
      <c r="P5" s="11">
        <f>(N5-M5)*1440</f>
        <v>94.999999999999986</v>
      </c>
      <c r="Q5" s="12">
        <f>(1440-P5)/60</f>
        <v>22.416666666666668</v>
      </c>
      <c r="R5" s="13">
        <f>(Q5/24)</f>
        <v>0.93402777777777779</v>
      </c>
    </row>
    <row r="6" spans="3:18" x14ac:dyDescent="0.35">
      <c r="C6" s="5">
        <v>1</v>
      </c>
      <c r="D6" s="9">
        <v>0.27083333333333331</v>
      </c>
      <c r="E6" s="9">
        <v>0.3263888888888889</v>
      </c>
      <c r="F6" s="5" t="s">
        <v>5</v>
      </c>
      <c r="G6" s="4"/>
      <c r="H6" s="5">
        <f>J$6*(1-G6)</f>
        <v>6</v>
      </c>
      <c r="J6" s="4">
        <v>6</v>
      </c>
    </row>
    <row r="7" spans="3:18" x14ac:dyDescent="0.35">
      <c r="C7" s="5">
        <v>2</v>
      </c>
      <c r="D7" s="9">
        <v>0.45069444444444445</v>
      </c>
      <c r="E7" s="9">
        <v>0.47083333333333333</v>
      </c>
      <c r="F7" s="5" t="s">
        <v>5</v>
      </c>
      <c r="G7" s="4"/>
      <c r="H7" s="5">
        <f t="shared" ref="H7:H13" si="0">J$6*(1-G7)</f>
        <v>6</v>
      </c>
    </row>
    <row r="8" spans="3:18" x14ac:dyDescent="0.35">
      <c r="C8" s="5">
        <v>3</v>
      </c>
      <c r="D8" s="9">
        <v>0.47569444444444442</v>
      </c>
      <c r="E8" s="9">
        <v>0.51736111111111116</v>
      </c>
      <c r="F8" s="5" t="s">
        <v>5</v>
      </c>
      <c r="G8" s="4"/>
      <c r="H8" s="5">
        <f t="shared" si="0"/>
        <v>6</v>
      </c>
    </row>
    <row r="9" spans="3:18" x14ac:dyDescent="0.35">
      <c r="C9" s="5">
        <v>4</v>
      </c>
      <c r="D9" s="9">
        <v>0.52222222222222225</v>
      </c>
      <c r="E9" s="9">
        <v>0.56458333333333333</v>
      </c>
      <c r="F9" s="5" t="s">
        <v>5</v>
      </c>
      <c r="G9" s="4"/>
      <c r="H9" s="5">
        <f t="shared" si="0"/>
        <v>6</v>
      </c>
    </row>
    <row r="10" spans="3:18" x14ac:dyDescent="0.35">
      <c r="C10" s="5">
        <v>5</v>
      </c>
      <c r="D10" s="9">
        <v>0.56805555555555554</v>
      </c>
      <c r="E10" s="9">
        <v>0.60972222222222228</v>
      </c>
      <c r="F10" s="5" t="s">
        <v>5</v>
      </c>
      <c r="G10" s="4"/>
      <c r="H10" s="5">
        <f t="shared" si="0"/>
        <v>6</v>
      </c>
    </row>
    <row r="11" spans="3:18" x14ac:dyDescent="0.35">
      <c r="C11" s="5">
        <v>6</v>
      </c>
      <c r="D11" s="9">
        <v>0.61388888888888893</v>
      </c>
      <c r="E11" s="9">
        <v>0.65833333333333333</v>
      </c>
      <c r="F11" s="5" t="s">
        <v>5</v>
      </c>
      <c r="G11" s="4"/>
      <c r="H11" s="5">
        <f t="shared" si="0"/>
        <v>6</v>
      </c>
    </row>
    <row r="12" spans="3:18" x14ac:dyDescent="0.35">
      <c r="C12" s="5">
        <v>7</v>
      </c>
      <c r="D12" s="9">
        <v>0.66319444444444442</v>
      </c>
      <c r="E12" s="9">
        <v>0.70486111111111116</v>
      </c>
      <c r="F12" s="5" t="s">
        <v>5</v>
      </c>
      <c r="G12" s="4"/>
      <c r="H12" s="5">
        <f t="shared" si="0"/>
        <v>6</v>
      </c>
    </row>
    <row r="13" spans="3:18" x14ac:dyDescent="0.35">
      <c r="C13" s="5">
        <v>8</v>
      </c>
      <c r="D13" s="9">
        <v>0.70902777777777781</v>
      </c>
      <c r="E13" s="9">
        <v>0.75069444444444444</v>
      </c>
      <c r="F13" s="5" t="s">
        <v>5</v>
      </c>
      <c r="G13" s="4"/>
      <c r="H13" s="5">
        <f t="shared" si="0"/>
        <v>6</v>
      </c>
    </row>
    <row r="14" spans="3:18" x14ac:dyDescent="0.35">
      <c r="C14" s="2"/>
    </row>
    <row r="15" spans="3:18" x14ac:dyDescent="0.35">
      <c r="C15" s="2"/>
    </row>
    <row r="17" spans="3:8" x14ac:dyDescent="0.35">
      <c r="C17" s="84" t="s">
        <v>0</v>
      </c>
      <c r="D17" s="85" t="s">
        <v>1</v>
      </c>
      <c r="E17" s="85"/>
      <c r="F17" s="86" t="s">
        <v>4</v>
      </c>
      <c r="G17" s="86" t="s">
        <v>6</v>
      </c>
      <c r="H17" s="84" t="s">
        <v>9</v>
      </c>
    </row>
    <row r="18" spans="3:8" x14ac:dyDescent="0.35">
      <c r="C18" s="84"/>
      <c r="D18" s="8" t="s">
        <v>2</v>
      </c>
      <c r="E18" s="8" t="s">
        <v>3</v>
      </c>
      <c r="F18" s="87"/>
      <c r="G18" s="87"/>
      <c r="H18" s="84"/>
    </row>
    <row r="19" spans="3:8" x14ac:dyDescent="0.35">
      <c r="C19" s="5">
        <v>1</v>
      </c>
      <c r="D19" s="9">
        <v>0.75486111111111109</v>
      </c>
      <c r="E19" s="9">
        <v>0.79722222222222228</v>
      </c>
      <c r="F19" s="5" t="s">
        <v>5</v>
      </c>
      <c r="G19" s="4"/>
      <c r="H19" s="5">
        <f>J$6*(1-G19)</f>
        <v>6</v>
      </c>
    </row>
    <row r="20" spans="3:8" x14ac:dyDescent="0.35">
      <c r="C20" s="5">
        <v>2</v>
      </c>
      <c r="D20" s="9">
        <v>0.80138888888888893</v>
      </c>
      <c r="E20" s="9">
        <v>0.82847222222222228</v>
      </c>
      <c r="F20" s="5" t="s">
        <v>5</v>
      </c>
      <c r="G20" s="4"/>
      <c r="H20" s="5">
        <f t="shared" ref="H20:H30" si="1">J$6*(1-G20)</f>
        <v>6</v>
      </c>
    </row>
    <row r="21" spans="3:8" x14ac:dyDescent="0.35">
      <c r="C21" s="5">
        <v>3</v>
      </c>
      <c r="D21" s="9">
        <v>0.8354166666666667</v>
      </c>
      <c r="E21" s="9">
        <v>0.86458333333333337</v>
      </c>
      <c r="F21" s="5" t="s">
        <v>5</v>
      </c>
      <c r="G21" s="4"/>
      <c r="H21" s="5">
        <f t="shared" si="1"/>
        <v>6</v>
      </c>
    </row>
    <row r="22" spans="3:8" x14ac:dyDescent="0.35">
      <c r="C22" s="5">
        <v>4</v>
      </c>
      <c r="D22" s="9">
        <v>0.86875000000000002</v>
      </c>
      <c r="E22" s="9">
        <v>0.90694444444444444</v>
      </c>
      <c r="F22" s="5" t="s">
        <v>5</v>
      </c>
      <c r="G22" s="4"/>
      <c r="H22" s="5">
        <f t="shared" si="1"/>
        <v>6</v>
      </c>
    </row>
    <row r="23" spans="3:8" x14ac:dyDescent="0.35">
      <c r="C23" s="5">
        <v>5</v>
      </c>
      <c r="D23" s="9">
        <v>0.9145833333333333</v>
      </c>
      <c r="E23" s="9">
        <v>0.95277777777777772</v>
      </c>
      <c r="F23" s="5" t="s">
        <v>5</v>
      </c>
      <c r="G23" s="4"/>
      <c r="H23" s="5">
        <f t="shared" si="1"/>
        <v>6</v>
      </c>
    </row>
    <row r="24" spans="3:8" x14ac:dyDescent="0.35">
      <c r="C24" s="5">
        <v>6</v>
      </c>
      <c r="D24" s="9">
        <v>0.95902777777777781</v>
      </c>
      <c r="E24" s="9">
        <v>6.9444444444444447E-4</v>
      </c>
      <c r="F24" s="5" t="s">
        <v>5</v>
      </c>
      <c r="G24" s="4"/>
      <c r="H24" s="5">
        <f t="shared" si="1"/>
        <v>6</v>
      </c>
    </row>
    <row r="25" spans="3:8" x14ac:dyDescent="0.35">
      <c r="C25" s="5">
        <v>7</v>
      </c>
      <c r="D25" s="9">
        <v>6.9444444444444441E-3</v>
      </c>
      <c r="E25" s="9">
        <v>4.8611111111111112E-2</v>
      </c>
      <c r="F25" s="5" t="s">
        <v>5</v>
      </c>
      <c r="G25" s="4"/>
      <c r="H25" s="5">
        <f t="shared" si="1"/>
        <v>6</v>
      </c>
    </row>
    <row r="26" spans="3:8" x14ac:dyDescent="0.35">
      <c r="C26" s="5">
        <v>9</v>
      </c>
      <c r="D26" s="9">
        <v>5.2083333333333336E-2</v>
      </c>
      <c r="E26" s="9">
        <v>9.0277777777777776E-2</v>
      </c>
      <c r="F26" s="5" t="s">
        <v>5</v>
      </c>
      <c r="G26" s="4"/>
      <c r="H26" s="5">
        <f t="shared" si="1"/>
        <v>6</v>
      </c>
    </row>
    <row r="27" spans="3:8" x14ac:dyDescent="0.35">
      <c r="C27" s="5">
        <v>10</v>
      </c>
      <c r="D27" s="9">
        <v>9.5138888888888884E-2</v>
      </c>
      <c r="E27" s="9">
        <v>0.13541666666666666</v>
      </c>
      <c r="F27" s="5" t="s">
        <v>5</v>
      </c>
      <c r="G27" s="4"/>
      <c r="H27" s="5">
        <f t="shared" si="1"/>
        <v>6</v>
      </c>
    </row>
    <row r="28" spans="3:8" x14ac:dyDescent="0.35">
      <c r="C28" s="5">
        <v>11</v>
      </c>
      <c r="D28" s="9">
        <v>0.13958333333333334</v>
      </c>
      <c r="E28" s="9">
        <v>0.17916666666666667</v>
      </c>
      <c r="F28" s="5" t="s">
        <v>5</v>
      </c>
      <c r="G28" s="4"/>
      <c r="H28" s="5">
        <f t="shared" si="1"/>
        <v>6</v>
      </c>
    </row>
    <row r="29" spans="3:8" x14ac:dyDescent="0.35">
      <c r="C29" s="5">
        <v>12</v>
      </c>
      <c r="D29" s="9">
        <v>0.18402777777777779</v>
      </c>
      <c r="E29" s="9">
        <v>0.22638888888888889</v>
      </c>
      <c r="F29" s="5" t="s">
        <v>5</v>
      </c>
      <c r="G29" s="4"/>
      <c r="H29" s="5">
        <f t="shared" si="1"/>
        <v>6</v>
      </c>
    </row>
    <row r="30" spans="3:8" x14ac:dyDescent="0.35">
      <c r="C30" s="5">
        <v>13</v>
      </c>
      <c r="D30" s="9">
        <v>0.23125000000000001</v>
      </c>
      <c r="E30" s="9">
        <v>0.27291666666666664</v>
      </c>
      <c r="F30" s="5" t="s">
        <v>5</v>
      </c>
      <c r="G30" s="4"/>
      <c r="H30" s="5">
        <f t="shared" si="1"/>
        <v>6</v>
      </c>
    </row>
  </sheetData>
  <mergeCells count="15">
    <mergeCell ref="M3:N3"/>
    <mergeCell ref="O3:O4"/>
    <mergeCell ref="P3:P4"/>
    <mergeCell ref="Q3:Q4"/>
    <mergeCell ref="R3:R4"/>
    <mergeCell ref="D4:E4"/>
    <mergeCell ref="C4:C5"/>
    <mergeCell ref="F4:F5"/>
    <mergeCell ref="G4:G5"/>
    <mergeCell ref="H4:H5"/>
    <mergeCell ref="C17:C18"/>
    <mergeCell ref="D17:E17"/>
    <mergeCell ref="F17:F18"/>
    <mergeCell ref="G17:G18"/>
    <mergeCell ref="H17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BC87-F4FD-4471-89A9-0A63B95F839D}">
  <dimension ref="C3:S41"/>
  <sheetViews>
    <sheetView topLeftCell="A49" workbookViewId="0">
      <selection activeCell="H12" sqref="H12"/>
    </sheetView>
  </sheetViews>
  <sheetFormatPr defaultRowHeight="14.5" x14ac:dyDescent="0.35"/>
  <cols>
    <col min="1" max="4" width="8.7265625" style="1"/>
    <col min="5" max="5" width="11.36328125" style="1" customWidth="1"/>
    <col min="6" max="6" width="17.08984375" style="1" customWidth="1"/>
    <col min="7" max="7" width="13.26953125" style="1" bestFit="1" customWidth="1"/>
    <col min="8" max="8" width="11.1796875" style="1" customWidth="1"/>
    <col min="9" max="9" width="21.90625" style="1" bestFit="1" customWidth="1"/>
    <col min="10" max="10" width="8.7265625" style="1"/>
    <col min="11" max="11" width="18.36328125" style="1" bestFit="1" customWidth="1"/>
    <col min="12" max="13" width="8.7265625" style="1"/>
    <col min="14" max="14" width="16.26953125" style="1" bestFit="1" customWidth="1"/>
    <col min="15" max="15" width="9.26953125" style="1" bestFit="1" customWidth="1"/>
    <col min="16" max="16" width="18.6328125" style="1" bestFit="1" customWidth="1"/>
    <col min="17" max="17" width="16.08984375" style="1" bestFit="1" customWidth="1"/>
    <col min="18" max="18" width="8.7265625" style="1"/>
    <col min="19" max="19" width="11.54296875" style="1" bestFit="1" customWidth="1"/>
    <col min="20" max="16384" width="8.7265625" style="1"/>
  </cols>
  <sheetData>
    <row r="3" spans="3:19" x14ac:dyDescent="0.35">
      <c r="C3" s="1" t="s">
        <v>8</v>
      </c>
      <c r="N3" s="85" t="s">
        <v>10</v>
      </c>
      <c r="O3" s="85"/>
      <c r="P3" s="86" t="s">
        <v>11</v>
      </c>
      <c r="Q3" s="86" t="s">
        <v>13</v>
      </c>
      <c r="R3" s="86" t="s">
        <v>15</v>
      </c>
      <c r="S3" s="86" t="s">
        <v>14</v>
      </c>
    </row>
    <row r="4" spans="3:19" x14ac:dyDescent="0.35">
      <c r="C4" s="91"/>
      <c r="D4" s="18"/>
      <c r="E4" s="92"/>
      <c r="F4" s="92"/>
      <c r="G4" s="91"/>
      <c r="H4" s="91"/>
      <c r="I4" s="91"/>
      <c r="N4" s="8" t="s">
        <v>3</v>
      </c>
      <c r="O4" s="8" t="s">
        <v>2</v>
      </c>
      <c r="P4" s="87"/>
      <c r="Q4" s="87"/>
      <c r="R4" s="87"/>
      <c r="S4" s="87"/>
    </row>
    <row r="5" spans="3:19" x14ac:dyDescent="0.35">
      <c r="C5" s="91"/>
      <c r="D5" s="18"/>
      <c r="E5" s="19"/>
      <c r="F5" s="19"/>
      <c r="G5" s="91"/>
      <c r="H5" s="91"/>
      <c r="I5" s="91"/>
      <c r="K5" s="10" t="s">
        <v>7</v>
      </c>
      <c r="N5" s="9"/>
      <c r="O5" s="9"/>
      <c r="P5" s="5"/>
      <c r="Q5" s="11">
        <f>(O5-N5)*1440</f>
        <v>0</v>
      </c>
      <c r="R5" s="12">
        <f>(1440-Q5)/60</f>
        <v>24</v>
      </c>
      <c r="S5" s="13">
        <f>(R5/24)</f>
        <v>1</v>
      </c>
    </row>
    <row r="6" spans="3:19" x14ac:dyDescent="0.35">
      <c r="C6" s="15"/>
      <c r="D6" s="15"/>
      <c r="E6" s="16"/>
      <c r="F6" s="16"/>
      <c r="G6" s="15"/>
      <c r="H6" s="17"/>
      <c r="I6" s="15"/>
      <c r="K6" s="4">
        <v>6</v>
      </c>
    </row>
    <row r="7" spans="3:19" x14ac:dyDescent="0.35">
      <c r="C7" s="15"/>
      <c r="D7" s="15"/>
      <c r="E7" s="16"/>
      <c r="F7" s="16"/>
      <c r="G7" s="15"/>
      <c r="H7" s="17"/>
      <c r="I7" s="15"/>
    </row>
    <row r="8" spans="3:19" x14ac:dyDescent="0.35">
      <c r="C8" s="15"/>
      <c r="D8" s="15"/>
      <c r="E8" s="16"/>
      <c r="F8" s="16"/>
      <c r="G8" s="15"/>
      <c r="H8" s="17"/>
      <c r="I8" s="15"/>
    </row>
    <row r="9" spans="3:19" x14ac:dyDescent="0.35">
      <c r="C9" s="15"/>
      <c r="D9" s="15"/>
      <c r="E9" s="16"/>
      <c r="F9" s="16"/>
      <c r="G9" s="15"/>
      <c r="H9" s="17"/>
      <c r="I9" s="15"/>
    </row>
    <row r="10" spans="3:19" x14ac:dyDescent="0.35">
      <c r="C10" s="15"/>
      <c r="D10" s="15"/>
      <c r="E10" s="16"/>
      <c r="F10" s="16"/>
      <c r="G10" s="15"/>
      <c r="H10" s="17"/>
      <c r="I10" s="15"/>
    </row>
    <row r="11" spans="3:19" x14ac:dyDescent="0.35">
      <c r="C11" s="15"/>
      <c r="D11" s="15"/>
      <c r="E11" s="16"/>
      <c r="F11" s="16"/>
      <c r="G11" s="15"/>
      <c r="H11" s="17"/>
      <c r="I11" s="15"/>
    </row>
    <row r="12" spans="3:19" x14ac:dyDescent="0.35">
      <c r="C12" s="15"/>
      <c r="D12" s="15"/>
      <c r="E12" s="16"/>
      <c r="F12" s="16"/>
      <c r="G12" s="15"/>
      <c r="H12" s="17"/>
      <c r="I12" s="15"/>
    </row>
    <row r="13" spans="3:19" x14ac:dyDescent="0.35">
      <c r="C13" s="15"/>
      <c r="D13" s="15"/>
      <c r="E13" s="16"/>
      <c r="F13" s="16"/>
      <c r="G13" s="15"/>
      <c r="H13" s="17"/>
      <c r="I13" s="15"/>
    </row>
    <row r="14" spans="3:19" x14ac:dyDescent="0.35">
      <c r="C14" s="2"/>
      <c r="D14" s="2"/>
    </row>
    <row r="15" spans="3:19" x14ac:dyDescent="0.35">
      <c r="C15" s="2"/>
      <c r="D15" s="2"/>
    </row>
    <row r="16" spans="3:19" x14ac:dyDescent="0.35">
      <c r="C16" s="2"/>
      <c r="D16" s="2"/>
    </row>
    <row r="17" spans="3:19" x14ac:dyDescent="0.35">
      <c r="C17" s="2"/>
      <c r="D17" s="2"/>
    </row>
    <row r="19" spans="3:19" x14ac:dyDescent="0.35">
      <c r="C19" s="84" t="s">
        <v>0</v>
      </c>
      <c r="D19" s="7"/>
      <c r="E19" s="85" t="s">
        <v>1</v>
      </c>
      <c r="F19" s="85"/>
      <c r="G19" s="86" t="s">
        <v>4</v>
      </c>
      <c r="H19" s="86" t="s">
        <v>6</v>
      </c>
      <c r="I19" s="84" t="s">
        <v>9</v>
      </c>
    </row>
    <row r="20" spans="3:19" x14ac:dyDescent="0.35">
      <c r="C20" s="84"/>
      <c r="D20" s="7" t="s">
        <v>17</v>
      </c>
      <c r="E20" s="8" t="s">
        <v>2</v>
      </c>
      <c r="F20" s="8" t="s">
        <v>3</v>
      </c>
      <c r="G20" s="87"/>
      <c r="H20" s="87"/>
      <c r="I20" s="84"/>
      <c r="N20" s="88" t="s">
        <v>10</v>
      </c>
      <c r="O20" s="88"/>
      <c r="P20" s="89" t="s">
        <v>11</v>
      </c>
      <c r="Q20" s="86" t="s">
        <v>13</v>
      </c>
      <c r="R20" s="86" t="s">
        <v>15</v>
      </c>
      <c r="S20" s="86" t="s">
        <v>14</v>
      </c>
    </row>
    <row r="21" spans="3:19" x14ac:dyDescent="0.35">
      <c r="C21" s="5">
        <v>1</v>
      </c>
      <c r="D21" s="5" t="s">
        <v>18</v>
      </c>
      <c r="E21" s="9">
        <v>0.27708333333333335</v>
      </c>
      <c r="F21" s="9">
        <v>0.31874999999999998</v>
      </c>
      <c r="G21" s="5" t="s">
        <v>5</v>
      </c>
      <c r="H21" s="4"/>
      <c r="I21" s="5">
        <f>K$6*(1-H21)</f>
        <v>6</v>
      </c>
      <c r="N21" s="6" t="s">
        <v>3</v>
      </c>
      <c r="O21" s="6" t="s">
        <v>2</v>
      </c>
      <c r="P21" s="90"/>
      <c r="Q21" s="87"/>
      <c r="R21" s="87"/>
      <c r="S21" s="87"/>
    </row>
    <row r="22" spans="3:19" x14ac:dyDescent="0.35">
      <c r="C22" s="5">
        <v>2</v>
      </c>
      <c r="D22" s="5" t="s">
        <v>18</v>
      </c>
      <c r="E22" s="9">
        <v>0.32708333333333334</v>
      </c>
      <c r="F22" s="9">
        <v>0.36875000000000002</v>
      </c>
      <c r="G22" s="5" t="s">
        <v>5</v>
      </c>
      <c r="H22" s="4"/>
      <c r="I22" s="5">
        <f t="shared" ref="I22:I39" si="0">K$6*(1-H22)</f>
        <v>6</v>
      </c>
      <c r="N22" s="9">
        <v>0.4513888888888889</v>
      </c>
      <c r="O22" s="9">
        <v>0.45277777777777778</v>
      </c>
      <c r="P22" s="5" t="s">
        <v>12</v>
      </c>
      <c r="Q22" s="11">
        <f>(O22-N22)*1440</f>
        <v>1.9999999999999929</v>
      </c>
      <c r="R22" s="95">
        <f>(1440-Q24)/60</f>
        <v>23.633333333333333</v>
      </c>
      <c r="S22" s="98">
        <f>(R22/24)</f>
        <v>0.98472222222222217</v>
      </c>
    </row>
    <row r="23" spans="3:19" x14ac:dyDescent="0.35">
      <c r="C23" s="5">
        <v>3</v>
      </c>
      <c r="D23" s="5" t="s">
        <v>18</v>
      </c>
      <c r="E23" s="9">
        <v>0.38194444444444442</v>
      </c>
      <c r="F23" s="9">
        <v>0.4236111111111111</v>
      </c>
      <c r="G23" s="5" t="s">
        <v>5</v>
      </c>
      <c r="H23" s="4"/>
      <c r="I23" s="5">
        <f t="shared" si="0"/>
        <v>6</v>
      </c>
      <c r="N23" s="9">
        <v>3.472222222222222E-3</v>
      </c>
      <c r="O23" s="9">
        <v>1.7361111111111112E-2</v>
      </c>
      <c r="P23" s="5" t="s">
        <v>12</v>
      </c>
      <c r="Q23" s="11">
        <f>(O23-N23)*1440</f>
        <v>20</v>
      </c>
      <c r="R23" s="96"/>
      <c r="S23" s="99"/>
    </row>
    <row r="24" spans="3:19" x14ac:dyDescent="0.35">
      <c r="C24" s="5">
        <v>4</v>
      </c>
      <c r="D24" s="5" t="s">
        <v>18</v>
      </c>
      <c r="E24" s="9">
        <v>0.43611111111111112</v>
      </c>
      <c r="F24" s="9">
        <v>0.47916666666666669</v>
      </c>
      <c r="G24" s="5" t="s">
        <v>5</v>
      </c>
      <c r="H24" s="4"/>
      <c r="I24" s="5">
        <f t="shared" si="0"/>
        <v>6</v>
      </c>
      <c r="N24" s="5" t="s">
        <v>16</v>
      </c>
      <c r="O24" s="93"/>
      <c r="P24" s="94"/>
      <c r="Q24" s="14">
        <f>SUM(Q22:Q23)</f>
        <v>21.999999999999993</v>
      </c>
      <c r="R24" s="97"/>
      <c r="S24" s="100"/>
    </row>
    <row r="25" spans="3:19" x14ac:dyDescent="0.35">
      <c r="C25" s="5">
        <v>5</v>
      </c>
      <c r="D25" s="5" t="s">
        <v>18</v>
      </c>
      <c r="E25" s="9">
        <v>0.48749999999999999</v>
      </c>
      <c r="F25" s="9">
        <v>0.54166666666666663</v>
      </c>
      <c r="G25" s="5" t="s">
        <v>5</v>
      </c>
      <c r="H25" s="4"/>
      <c r="I25" s="5">
        <f t="shared" si="0"/>
        <v>6</v>
      </c>
    </row>
    <row r="26" spans="3:19" x14ac:dyDescent="0.35">
      <c r="C26" s="5">
        <v>6</v>
      </c>
      <c r="D26" s="5" t="s">
        <v>18</v>
      </c>
      <c r="E26" s="9">
        <v>0.54722222222222228</v>
      </c>
      <c r="F26" s="9">
        <v>0.59375</v>
      </c>
      <c r="G26" s="5" t="s">
        <v>5</v>
      </c>
      <c r="H26" s="4"/>
      <c r="I26" s="5">
        <f t="shared" si="0"/>
        <v>6</v>
      </c>
    </row>
    <row r="27" spans="3:19" x14ac:dyDescent="0.35">
      <c r="C27" s="5">
        <v>7</v>
      </c>
      <c r="D27" s="5" t="s">
        <v>18</v>
      </c>
      <c r="E27" s="9">
        <v>0.6</v>
      </c>
      <c r="F27" s="9">
        <v>0.64236111111111116</v>
      </c>
      <c r="G27" s="5" t="s">
        <v>5</v>
      </c>
      <c r="H27" s="4"/>
      <c r="I27" s="5">
        <f t="shared" si="0"/>
        <v>6</v>
      </c>
    </row>
    <row r="28" spans="3:19" x14ac:dyDescent="0.35">
      <c r="C28" s="5">
        <v>8</v>
      </c>
      <c r="D28" s="5" t="s">
        <v>18</v>
      </c>
      <c r="E28" s="9">
        <v>0.64861111111111114</v>
      </c>
      <c r="F28" s="9">
        <v>0.69444444444444442</v>
      </c>
      <c r="G28" s="5" t="s">
        <v>5</v>
      </c>
      <c r="H28" s="4"/>
      <c r="I28" s="5">
        <f t="shared" si="0"/>
        <v>6</v>
      </c>
    </row>
    <row r="29" spans="3:19" x14ac:dyDescent="0.35">
      <c r="C29" s="5">
        <v>9</v>
      </c>
      <c r="D29" s="5" t="s">
        <v>18</v>
      </c>
      <c r="E29" s="9">
        <v>0.69861111111111107</v>
      </c>
      <c r="F29" s="9">
        <v>0.74305555555555558</v>
      </c>
      <c r="G29" s="5" t="s">
        <v>5</v>
      </c>
      <c r="H29" s="4"/>
      <c r="I29" s="5">
        <f t="shared" si="0"/>
        <v>6</v>
      </c>
    </row>
    <row r="30" spans="3:19" x14ac:dyDescent="0.35">
      <c r="C30" s="5">
        <v>10</v>
      </c>
      <c r="D30" s="5" t="s">
        <v>18</v>
      </c>
      <c r="E30" s="9">
        <v>0.74930555555555556</v>
      </c>
      <c r="F30" s="9">
        <v>0.79861111111111116</v>
      </c>
      <c r="G30" s="5" t="s">
        <v>5</v>
      </c>
      <c r="H30" s="4"/>
      <c r="I30" s="5">
        <f t="shared" si="0"/>
        <v>6</v>
      </c>
    </row>
    <row r="31" spans="3:19" x14ac:dyDescent="0.35">
      <c r="C31" s="5">
        <v>11</v>
      </c>
      <c r="D31" s="5" t="s">
        <v>19</v>
      </c>
      <c r="E31" s="9">
        <v>0.80347222222222225</v>
      </c>
      <c r="F31" s="9">
        <v>0.84513888888888888</v>
      </c>
      <c r="G31" s="5" t="s">
        <v>5</v>
      </c>
      <c r="H31" s="4"/>
      <c r="I31" s="5">
        <f t="shared" si="0"/>
        <v>6</v>
      </c>
    </row>
    <row r="32" spans="3:19" x14ac:dyDescent="0.35">
      <c r="C32" s="5">
        <v>12</v>
      </c>
      <c r="D32" s="5" t="s">
        <v>19</v>
      </c>
      <c r="E32" s="9">
        <v>0.84722222222222221</v>
      </c>
      <c r="F32" s="9">
        <v>0.8930555555555556</v>
      </c>
      <c r="G32" s="5" t="s">
        <v>5</v>
      </c>
      <c r="H32" s="4"/>
      <c r="I32" s="5">
        <f t="shared" si="0"/>
        <v>6</v>
      </c>
    </row>
    <row r="33" spans="3:9" x14ac:dyDescent="0.35">
      <c r="C33" s="5">
        <v>13</v>
      </c>
      <c r="D33" s="5" t="s">
        <v>19</v>
      </c>
      <c r="E33" s="9">
        <v>0.89930555555555558</v>
      </c>
      <c r="F33" s="9">
        <v>0.94097222222222221</v>
      </c>
      <c r="G33" s="5" t="s">
        <v>5</v>
      </c>
      <c r="H33" s="5"/>
      <c r="I33" s="5">
        <f t="shared" si="0"/>
        <v>6</v>
      </c>
    </row>
    <row r="34" spans="3:9" x14ac:dyDescent="0.35">
      <c r="C34" s="5">
        <v>14</v>
      </c>
      <c r="D34" s="5" t="s">
        <v>19</v>
      </c>
      <c r="E34" s="9">
        <v>0.94930555555555551</v>
      </c>
      <c r="F34" s="9">
        <v>0.99097222222222225</v>
      </c>
      <c r="G34" s="5" t="s">
        <v>5</v>
      </c>
      <c r="H34" s="5"/>
      <c r="I34" s="5">
        <f t="shared" si="0"/>
        <v>6</v>
      </c>
    </row>
    <row r="35" spans="3:9" x14ac:dyDescent="0.35">
      <c r="C35" s="5">
        <v>15</v>
      </c>
      <c r="D35" s="5" t="s">
        <v>19</v>
      </c>
      <c r="E35" s="9">
        <v>0.99652777777777779</v>
      </c>
      <c r="F35" s="9">
        <v>5.9722222222222225E-2</v>
      </c>
      <c r="G35" s="5" t="s">
        <v>5</v>
      </c>
      <c r="H35" s="5"/>
      <c r="I35" s="5">
        <f t="shared" si="0"/>
        <v>6</v>
      </c>
    </row>
    <row r="36" spans="3:9" x14ac:dyDescent="0.35">
      <c r="C36" s="5">
        <v>16</v>
      </c>
      <c r="D36" s="5" t="s">
        <v>19</v>
      </c>
      <c r="E36" s="9">
        <v>6.3888888888888884E-2</v>
      </c>
      <c r="F36" s="9">
        <v>0.10416666666666667</v>
      </c>
      <c r="G36" s="5" t="s">
        <v>5</v>
      </c>
      <c r="H36" s="5"/>
      <c r="I36" s="5">
        <f t="shared" si="0"/>
        <v>6</v>
      </c>
    </row>
    <row r="37" spans="3:9" x14ac:dyDescent="0.35">
      <c r="C37" s="5">
        <v>17</v>
      </c>
      <c r="D37" s="5" t="s">
        <v>19</v>
      </c>
      <c r="E37" s="9">
        <v>0.10972222222222222</v>
      </c>
      <c r="F37" s="9">
        <v>0.15138888888888888</v>
      </c>
      <c r="G37" s="5" t="s">
        <v>5</v>
      </c>
      <c r="H37" s="5"/>
      <c r="I37" s="5">
        <f t="shared" si="0"/>
        <v>6</v>
      </c>
    </row>
    <row r="38" spans="3:9" x14ac:dyDescent="0.35">
      <c r="C38" s="5">
        <v>18</v>
      </c>
      <c r="D38" s="5" t="s">
        <v>19</v>
      </c>
      <c r="E38" s="9">
        <v>0.15763888888888888</v>
      </c>
      <c r="F38" s="9">
        <v>0.19930555555555557</v>
      </c>
      <c r="G38" s="5" t="s">
        <v>5</v>
      </c>
      <c r="H38" s="5"/>
      <c r="I38" s="5">
        <f t="shared" si="0"/>
        <v>6</v>
      </c>
    </row>
    <row r="39" spans="3:9" x14ac:dyDescent="0.35">
      <c r="C39" s="5">
        <v>19</v>
      </c>
      <c r="D39" s="5" t="s">
        <v>19</v>
      </c>
      <c r="E39" s="9">
        <v>0.2048611111111111</v>
      </c>
      <c r="F39" s="9">
        <v>0.25</v>
      </c>
      <c r="G39" s="5" t="s">
        <v>5</v>
      </c>
      <c r="H39" s="5"/>
      <c r="I39" s="5">
        <f t="shared" si="0"/>
        <v>6</v>
      </c>
    </row>
    <row r="40" spans="3:9" x14ac:dyDescent="0.35">
      <c r="E40" s="3"/>
    </row>
    <row r="41" spans="3:9" x14ac:dyDescent="0.35">
      <c r="E41" s="3"/>
    </row>
  </sheetData>
  <mergeCells count="23">
    <mergeCell ref="O24:P24"/>
    <mergeCell ref="R22:R24"/>
    <mergeCell ref="S22:S24"/>
    <mergeCell ref="P20:P21"/>
    <mergeCell ref="Q20:Q21"/>
    <mergeCell ref="R20:R21"/>
    <mergeCell ref="S20:S21"/>
    <mergeCell ref="N20:O20"/>
    <mergeCell ref="C19:C20"/>
    <mergeCell ref="E19:F19"/>
    <mergeCell ref="G19:G20"/>
    <mergeCell ref="H19:H20"/>
    <mergeCell ref="I19:I20"/>
    <mergeCell ref="N3:O3"/>
    <mergeCell ref="P3:P4"/>
    <mergeCell ref="Q3:Q4"/>
    <mergeCell ref="R3:R4"/>
    <mergeCell ref="S3:S4"/>
    <mergeCell ref="C4:C5"/>
    <mergeCell ref="E4:F4"/>
    <mergeCell ref="G4:G5"/>
    <mergeCell ref="H4:H5"/>
    <mergeCell ref="I4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AEEA-5DD3-4A5B-B921-DFE22FC6716F}">
  <dimension ref="A1"/>
  <sheetViews>
    <sheetView topLeftCell="N1" workbookViewId="0">
      <selection activeCell="T5" sqref="T5"/>
    </sheetView>
  </sheetViews>
  <sheetFormatPr defaultRowHeight="14.5" x14ac:dyDescent="0.35"/>
  <cols>
    <col min="1" max="16384" width="8.726562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9E11-3AC9-4F18-90ED-B7F10548049C}">
  <dimension ref="C4:S34"/>
  <sheetViews>
    <sheetView topLeftCell="A19" workbookViewId="0">
      <selection activeCell="G34" sqref="G34"/>
    </sheetView>
  </sheetViews>
  <sheetFormatPr defaultRowHeight="14.5" x14ac:dyDescent="0.35"/>
  <cols>
    <col min="1" max="3" width="8.7265625" style="1"/>
    <col min="4" max="4" width="10.81640625" style="1" customWidth="1"/>
    <col min="5" max="5" width="17.81640625" style="1" customWidth="1"/>
    <col min="6" max="6" width="13.54296875" style="1" bestFit="1" customWidth="1"/>
    <col min="7" max="7" width="10.36328125" style="1" bestFit="1" customWidth="1"/>
    <col min="8" max="8" width="22" style="1" bestFit="1" customWidth="1"/>
    <col min="9" max="9" width="8.7265625" style="1"/>
    <col min="10" max="10" width="11.90625" style="1" bestFit="1" customWidth="1"/>
    <col min="11" max="14" width="8.7265625" style="1"/>
    <col min="15" max="15" width="9.453125" style="1" bestFit="1" customWidth="1"/>
    <col min="16" max="16" width="10.90625" style="1" bestFit="1" customWidth="1"/>
    <col min="17" max="17" width="15.90625" style="1" bestFit="1" customWidth="1"/>
    <col min="18" max="18" width="10.26953125" style="1" bestFit="1" customWidth="1"/>
    <col min="19" max="19" width="9.81640625" style="1" bestFit="1" customWidth="1"/>
    <col min="20" max="16384" width="8.7265625" style="1"/>
  </cols>
  <sheetData>
    <row r="4" spans="3:19" x14ac:dyDescent="0.35">
      <c r="C4" s="1" t="s">
        <v>8</v>
      </c>
    </row>
    <row r="5" spans="3:19" x14ac:dyDescent="0.35">
      <c r="C5" s="84" t="s">
        <v>0</v>
      </c>
      <c r="D5" s="85" t="s">
        <v>1</v>
      </c>
      <c r="E5" s="85"/>
      <c r="F5" s="86" t="s">
        <v>4</v>
      </c>
      <c r="G5" s="86" t="s">
        <v>6</v>
      </c>
      <c r="H5" s="84" t="s">
        <v>9</v>
      </c>
      <c r="J5" s="10" t="s">
        <v>21</v>
      </c>
      <c r="N5" s="101" t="s">
        <v>28</v>
      </c>
      <c r="O5" s="102"/>
      <c r="P5" s="102"/>
      <c r="Q5" s="102"/>
      <c r="R5" s="102"/>
      <c r="S5" s="102"/>
    </row>
    <row r="6" spans="3:19" x14ac:dyDescent="0.35">
      <c r="C6" s="84"/>
      <c r="D6" s="8" t="s">
        <v>2</v>
      </c>
      <c r="E6" s="8" t="s">
        <v>3</v>
      </c>
      <c r="F6" s="87"/>
      <c r="G6" s="87"/>
      <c r="H6" s="84"/>
      <c r="J6" s="5">
        <v>6</v>
      </c>
      <c r="N6" s="8" t="s">
        <v>0</v>
      </c>
      <c r="O6" s="8" t="s">
        <v>25</v>
      </c>
      <c r="P6" s="8" t="s">
        <v>26</v>
      </c>
      <c r="Q6" s="8" t="s">
        <v>30</v>
      </c>
      <c r="R6" s="10" t="s">
        <v>27</v>
      </c>
      <c r="S6" s="10" t="s">
        <v>31</v>
      </c>
    </row>
    <row r="7" spans="3:19" x14ac:dyDescent="0.35">
      <c r="C7" s="5">
        <v>1</v>
      </c>
      <c r="D7" s="9">
        <v>0.38541666666666669</v>
      </c>
      <c r="E7" s="9">
        <v>0.41458333333333336</v>
      </c>
      <c r="F7" s="5" t="s">
        <v>5</v>
      </c>
      <c r="G7" s="35">
        <v>0.26</v>
      </c>
      <c r="H7" s="5">
        <f>J$6*(1-G7)</f>
        <v>4.4399999999999995</v>
      </c>
      <c r="N7" s="5">
        <v>1</v>
      </c>
      <c r="O7" s="5">
        <v>0.14000000000000001</v>
      </c>
      <c r="P7" s="5">
        <v>1.845</v>
      </c>
      <c r="Q7" s="24">
        <v>1.5</v>
      </c>
      <c r="R7" s="28">
        <f>Q7-O7</f>
        <v>1.3599999999999999</v>
      </c>
      <c r="S7" s="23">
        <f>(P7-R7)/P7</f>
        <v>0.26287262872628731</v>
      </c>
    </row>
    <row r="8" spans="3:19" x14ac:dyDescent="0.35">
      <c r="C8" s="5">
        <v>2</v>
      </c>
      <c r="D8" s="9">
        <v>0.42291666666666666</v>
      </c>
      <c r="E8" s="9">
        <v>0.44930555555555557</v>
      </c>
      <c r="F8" s="5" t="s">
        <v>5</v>
      </c>
      <c r="G8" s="35">
        <v>0.26</v>
      </c>
      <c r="H8" s="5">
        <f t="shared" ref="H8:H32" si="0">J$6*(1-G8)</f>
        <v>4.4399999999999995</v>
      </c>
      <c r="N8" s="5">
        <v>2</v>
      </c>
      <c r="O8" s="5">
        <v>0.13500000000000001</v>
      </c>
      <c r="P8" s="5">
        <v>1.9850000000000001</v>
      </c>
      <c r="Q8" s="24">
        <v>1.595</v>
      </c>
      <c r="R8" s="4">
        <f t="shared" ref="R8:R9" si="1">Q8-O8</f>
        <v>1.46</v>
      </c>
      <c r="S8" s="23">
        <f>(P8-R8)/P8</f>
        <v>0.26448362720403029</v>
      </c>
    </row>
    <row r="9" spans="3:19" x14ac:dyDescent="0.35">
      <c r="C9" s="5">
        <v>3</v>
      </c>
      <c r="D9" s="9">
        <v>0.46875</v>
      </c>
      <c r="E9" s="9">
        <v>0.50694444444444442</v>
      </c>
      <c r="F9" s="5" t="s">
        <v>5</v>
      </c>
      <c r="G9" s="35">
        <v>0.26</v>
      </c>
      <c r="H9" s="5">
        <f t="shared" si="0"/>
        <v>4.4399999999999995</v>
      </c>
      <c r="N9" s="5">
        <v>3</v>
      </c>
      <c r="O9" s="5">
        <v>0.14499999999999999</v>
      </c>
      <c r="P9" s="5">
        <v>1.7549999999999999</v>
      </c>
      <c r="Q9" s="24">
        <v>1.4350000000000001</v>
      </c>
      <c r="R9" s="28">
        <f t="shared" si="1"/>
        <v>1.29</v>
      </c>
      <c r="S9" s="23">
        <f>(P9-R9)/P9</f>
        <v>0.2649572649572649</v>
      </c>
    </row>
    <row r="10" spans="3:19" x14ac:dyDescent="0.35">
      <c r="C10" s="5">
        <v>4</v>
      </c>
      <c r="D10" s="9">
        <v>0.51527777777777772</v>
      </c>
      <c r="E10" s="9">
        <v>0.55555555555555558</v>
      </c>
      <c r="F10" s="5" t="s">
        <v>5</v>
      </c>
      <c r="G10" s="35">
        <v>0.26</v>
      </c>
      <c r="H10" s="5">
        <f t="shared" si="0"/>
        <v>4.4399999999999995</v>
      </c>
      <c r="N10" s="27" t="s">
        <v>32</v>
      </c>
      <c r="O10" s="93"/>
      <c r="P10" s="103"/>
      <c r="Q10" s="103"/>
      <c r="R10" s="94"/>
      <c r="S10" s="26">
        <f>AVERAGE(S7:S9)</f>
        <v>0.26410450696252746</v>
      </c>
    </row>
    <row r="11" spans="3:19" x14ac:dyDescent="0.35">
      <c r="C11" s="5">
        <v>5</v>
      </c>
      <c r="D11" s="9">
        <v>0.5625</v>
      </c>
      <c r="E11" s="9">
        <v>0.60277777777777775</v>
      </c>
      <c r="F11" s="5" t="s">
        <v>5</v>
      </c>
      <c r="G11" s="35">
        <v>0.26</v>
      </c>
      <c r="H11" s="5">
        <f t="shared" si="0"/>
        <v>4.4399999999999995</v>
      </c>
    </row>
    <row r="12" spans="3:19" x14ac:dyDescent="0.35">
      <c r="C12" s="5">
        <v>6</v>
      </c>
      <c r="D12" s="9">
        <v>0.60763888888888884</v>
      </c>
      <c r="E12" s="9">
        <v>0.64930555555555558</v>
      </c>
      <c r="F12" s="5" t="s">
        <v>5</v>
      </c>
      <c r="G12" s="35">
        <v>0.26</v>
      </c>
      <c r="H12" s="5">
        <f t="shared" si="0"/>
        <v>4.4399999999999995</v>
      </c>
    </row>
    <row r="13" spans="3:19" x14ac:dyDescent="0.35">
      <c r="C13" s="5">
        <v>7</v>
      </c>
      <c r="D13" s="9"/>
      <c r="E13" s="9"/>
      <c r="F13" s="5"/>
      <c r="G13" s="4"/>
      <c r="H13" s="5"/>
    </row>
    <row r="14" spans="3:19" x14ac:dyDescent="0.35">
      <c r="C14" s="5">
        <v>1</v>
      </c>
      <c r="D14" s="9">
        <v>0.69444444444444442</v>
      </c>
      <c r="E14" s="9">
        <v>0.73958333333333337</v>
      </c>
      <c r="F14" s="5" t="s">
        <v>20</v>
      </c>
      <c r="G14" s="22">
        <v>0.26</v>
      </c>
      <c r="H14" s="5">
        <f t="shared" si="0"/>
        <v>4.4399999999999995</v>
      </c>
      <c r="I14" s="21"/>
    </row>
    <row r="15" spans="3:19" x14ac:dyDescent="0.35">
      <c r="C15" s="5">
        <v>2</v>
      </c>
      <c r="D15" s="9">
        <v>0.73958333333333337</v>
      </c>
      <c r="E15" s="9">
        <v>0.76597222222222228</v>
      </c>
      <c r="F15" s="5" t="s">
        <v>5</v>
      </c>
      <c r="G15" s="22">
        <v>0.26</v>
      </c>
      <c r="H15" s="5">
        <f t="shared" si="0"/>
        <v>4.4399999999999995</v>
      </c>
    </row>
    <row r="16" spans="3:19" x14ac:dyDescent="0.35">
      <c r="C16" s="5">
        <v>3</v>
      </c>
      <c r="D16" s="9">
        <v>0.77638888888888891</v>
      </c>
      <c r="E16" s="9">
        <v>0.81805555555555554</v>
      </c>
      <c r="F16" s="5" t="s">
        <v>5</v>
      </c>
      <c r="G16" s="22">
        <v>0.26</v>
      </c>
      <c r="H16" s="5">
        <f t="shared" si="0"/>
        <v>4.4399999999999995</v>
      </c>
    </row>
    <row r="17" spans="3:8" x14ac:dyDescent="0.35">
      <c r="C17" s="5">
        <v>4</v>
      </c>
      <c r="D17" s="9">
        <v>0.81944444444444442</v>
      </c>
      <c r="E17" s="9">
        <v>0.84305555555555556</v>
      </c>
      <c r="F17" s="5" t="s">
        <v>5</v>
      </c>
      <c r="G17" s="22">
        <v>0.26</v>
      </c>
      <c r="H17" s="5">
        <f t="shared" si="0"/>
        <v>4.4399999999999995</v>
      </c>
    </row>
    <row r="18" spans="3:8" x14ac:dyDescent="0.35">
      <c r="C18" s="5">
        <v>5</v>
      </c>
      <c r="D18" s="9">
        <v>0.84444444444444444</v>
      </c>
      <c r="E18" s="9">
        <v>0.86944444444444446</v>
      </c>
      <c r="F18" s="5" t="s">
        <v>5</v>
      </c>
      <c r="G18" s="22">
        <v>0.26</v>
      </c>
      <c r="H18" s="5">
        <f t="shared" si="0"/>
        <v>4.4399999999999995</v>
      </c>
    </row>
    <row r="19" spans="3:8" x14ac:dyDescent="0.35">
      <c r="C19" s="5">
        <v>6</v>
      </c>
      <c r="D19" s="9">
        <v>0.87083333333333335</v>
      </c>
      <c r="E19" s="9">
        <v>0.89861111111111114</v>
      </c>
      <c r="F19" s="5" t="s">
        <v>5</v>
      </c>
      <c r="G19" s="22">
        <v>0.26</v>
      </c>
      <c r="H19" s="5">
        <f t="shared" si="0"/>
        <v>4.4399999999999995</v>
      </c>
    </row>
    <row r="20" spans="3:8" x14ac:dyDescent="0.35">
      <c r="C20" s="5">
        <v>7</v>
      </c>
      <c r="D20" s="9">
        <v>0.9</v>
      </c>
      <c r="E20" s="9">
        <v>0.92986111111111114</v>
      </c>
      <c r="F20" s="5" t="s">
        <v>5</v>
      </c>
      <c r="G20" s="22">
        <v>0.26</v>
      </c>
      <c r="H20" s="5">
        <f t="shared" si="0"/>
        <v>4.4399999999999995</v>
      </c>
    </row>
    <row r="21" spans="3:8" x14ac:dyDescent="0.35">
      <c r="C21" s="5">
        <v>8</v>
      </c>
      <c r="D21" s="9">
        <v>0.93125000000000002</v>
      </c>
      <c r="E21" s="9">
        <v>0.95833333333333337</v>
      </c>
      <c r="F21" s="5" t="s">
        <v>5</v>
      </c>
      <c r="G21" s="22">
        <v>0.26</v>
      </c>
      <c r="H21" s="5">
        <f t="shared" si="0"/>
        <v>4.4399999999999995</v>
      </c>
    </row>
    <row r="22" spans="3:8" x14ac:dyDescent="0.35">
      <c r="C22" s="5">
        <v>9</v>
      </c>
      <c r="D22" s="9">
        <v>0.95902777777777781</v>
      </c>
      <c r="E22" s="9">
        <v>0.97986111111111107</v>
      </c>
      <c r="F22" s="5" t="s">
        <v>5</v>
      </c>
      <c r="G22" s="22">
        <v>0.26</v>
      </c>
      <c r="H22" s="5">
        <f t="shared" si="0"/>
        <v>4.4399999999999995</v>
      </c>
    </row>
    <row r="23" spans="3:8" x14ac:dyDescent="0.35">
      <c r="C23" s="5">
        <v>10</v>
      </c>
      <c r="D23" s="9">
        <v>0.98124999999999996</v>
      </c>
      <c r="E23" s="9">
        <v>2.0833333333333333E-3</v>
      </c>
      <c r="F23" s="5" t="s">
        <v>5</v>
      </c>
      <c r="G23" s="22">
        <v>0.26</v>
      </c>
      <c r="H23" s="5">
        <f t="shared" si="0"/>
        <v>4.4399999999999995</v>
      </c>
    </row>
    <row r="24" spans="3:8" x14ac:dyDescent="0.35">
      <c r="C24" s="5">
        <v>11</v>
      </c>
      <c r="D24" s="9">
        <v>3.472222222222222E-3</v>
      </c>
      <c r="E24" s="9">
        <v>2.8472222222222222E-2</v>
      </c>
      <c r="F24" s="5" t="s">
        <v>5</v>
      </c>
      <c r="G24" s="22">
        <v>0.26</v>
      </c>
      <c r="H24" s="5">
        <f t="shared" si="0"/>
        <v>4.4399999999999995</v>
      </c>
    </row>
    <row r="25" spans="3:8" x14ac:dyDescent="0.35">
      <c r="C25" s="5">
        <v>12</v>
      </c>
      <c r="D25" s="9">
        <v>2.9861111111111113E-2</v>
      </c>
      <c r="E25" s="9">
        <v>6.3888888888888884E-2</v>
      </c>
      <c r="F25" s="5" t="s">
        <v>5</v>
      </c>
      <c r="G25" s="22">
        <v>0.26</v>
      </c>
      <c r="H25" s="5">
        <f t="shared" si="0"/>
        <v>4.4399999999999995</v>
      </c>
    </row>
    <row r="26" spans="3:8" x14ac:dyDescent="0.35">
      <c r="C26" s="5">
        <v>13</v>
      </c>
      <c r="D26" s="9">
        <v>6.458333333333334E-2</v>
      </c>
      <c r="E26" s="9">
        <v>9.583333333333334E-2</v>
      </c>
      <c r="F26" s="5" t="s">
        <v>5</v>
      </c>
      <c r="G26" s="22">
        <v>0.26</v>
      </c>
      <c r="H26" s="5">
        <f t="shared" si="0"/>
        <v>4.4399999999999995</v>
      </c>
    </row>
    <row r="27" spans="3:8" x14ac:dyDescent="0.35">
      <c r="C27" s="5">
        <v>14</v>
      </c>
      <c r="D27" s="9">
        <v>9.7222222222222224E-2</v>
      </c>
      <c r="E27" s="9">
        <v>0.12222222222222222</v>
      </c>
      <c r="F27" s="5" t="s">
        <v>5</v>
      </c>
      <c r="G27" s="22">
        <v>0.26</v>
      </c>
      <c r="H27" s="5">
        <f t="shared" si="0"/>
        <v>4.4399999999999995</v>
      </c>
    </row>
    <row r="28" spans="3:8" x14ac:dyDescent="0.35">
      <c r="C28" s="5">
        <v>15</v>
      </c>
      <c r="D28" s="9">
        <v>0.12291666666666666</v>
      </c>
      <c r="E28" s="9">
        <v>0.15416666666666667</v>
      </c>
      <c r="F28" s="5" t="s">
        <v>5</v>
      </c>
      <c r="G28" s="22">
        <v>0.26</v>
      </c>
      <c r="H28" s="5">
        <f t="shared" si="0"/>
        <v>4.4399999999999995</v>
      </c>
    </row>
    <row r="29" spans="3:8" x14ac:dyDescent="0.35">
      <c r="C29" s="5">
        <v>16</v>
      </c>
      <c r="D29" s="9">
        <v>0.15486111111111112</v>
      </c>
      <c r="E29" s="9">
        <v>0.18124999999999999</v>
      </c>
      <c r="F29" s="5" t="s">
        <v>5</v>
      </c>
      <c r="G29" s="22">
        <v>0.26</v>
      </c>
      <c r="H29" s="5">
        <f t="shared" si="0"/>
        <v>4.4399999999999995</v>
      </c>
    </row>
    <row r="30" spans="3:8" x14ac:dyDescent="0.35">
      <c r="C30" s="5">
        <v>17</v>
      </c>
      <c r="D30" s="9">
        <v>0.18263888888888888</v>
      </c>
      <c r="E30" s="9">
        <v>0.21527777777777779</v>
      </c>
      <c r="F30" s="5" t="s">
        <v>5</v>
      </c>
      <c r="G30" s="22">
        <v>0.26</v>
      </c>
      <c r="H30" s="5">
        <f t="shared" si="0"/>
        <v>4.4399999999999995</v>
      </c>
    </row>
    <row r="31" spans="3:8" x14ac:dyDescent="0.35">
      <c r="C31" s="5">
        <v>18</v>
      </c>
      <c r="D31" s="9">
        <v>0.21666666666666667</v>
      </c>
      <c r="E31" s="9">
        <v>0.24305555555555555</v>
      </c>
      <c r="F31" s="5" t="s">
        <v>5</v>
      </c>
      <c r="G31" s="22">
        <v>0.26</v>
      </c>
      <c r="H31" s="5">
        <f t="shared" si="0"/>
        <v>4.4399999999999995</v>
      </c>
    </row>
    <row r="32" spans="3:8" x14ac:dyDescent="0.35">
      <c r="C32" s="5">
        <v>19</v>
      </c>
      <c r="D32" s="9">
        <v>0.24444444444444444</v>
      </c>
      <c r="E32" s="9">
        <v>0.28263888888888888</v>
      </c>
      <c r="F32" s="5" t="s">
        <v>5</v>
      </c>
      <c r="G32" s="22">
        <v>0.26</v>
      </c>
      <c r="H32" s="5">
        <f t="shared" si="0"/>
        <v>4.4399999999999995</v>
      </c>
    </row>
    <row r="33" spans="3:8" x14ac:dyDescent="0.35">
      <c r="C33" s="5" t="s">
        <v>22</v>
      </c>
      <c r="D33" s="9" t="s">
        <v>23</v>
      </c>
      <c r="E33" s="5">
        <f>C32</f>
        <v>19</v>
      </c>
      <c r="F33" s="5" t="s">
        <v>24</v>
      </c>
      <c r="G33" s="5"/>
      <c r="H33" s="5">
        <f>SUM(H14:H32)</f>
        <v>84.359999999999971</v>
      </c>
    </row>
    <row r="34" spans="3:8" x14ac:dyDescent="0.35">
      <c r="C34" s="2"/>
      <c r="D34" s="20"/>
    </row>
  </sheetData>
  <mergeCells count="7">
    <mergeCell ref="N5:S5"/>
    <mergeCell ref="O10:R10"/>
    <mergeCell ref="C5:C6"/>
    <mergeCell ref="D5:E5"/>
    <mergeCell ref="F5:F6"/>
    <mergeCell ref="G5:G6"/>
    <mergeCell ref="H5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1082-572F-4E49-B15C-1615CC167982}">
  <dimension ref="B3:Q22"/>
  <sheetViews>
    <sheetView topLeftCell="A2" zoomScale="81" workbookViewId="0">
      <selection activeCell="H14" sqref="H14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9.36328125" style="1" bestFit="1" customWidth="1"/>
    <col min="14" max="14" width="10.81640625" style="1" bestFit="1" customWidth="1"/>
    <col min="15" max="15" width="15.90625" style="1" bestFit="1" customWidth="1"/>
    <col min="16" max="16" width="10.26953125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25</v>
      </c>
      <c r="N5" s="8" t="s">
        <v>26</v>
      </c>
      <c r="O5" s="8" t="s">
        <v>30</v>
      </c>
      <c r="P5" s="10" t="s">
        <v>27</v>
      </c>
      <c r="Q5" s="10" t="s">
        <v>31</v>
      </c>
    </row>
    <row r="6" spans="2:17" x14ac:dyDescent="0.35">
      <c r="B6" s="5">
        <v>1</v>
      </c>
      <c r="C6" s="9">
        <v>0.28819444444444442</v>
      </c>
      <c r="D6" s="9">
        <v>0.30902777777777779</v>
      </c>
      <c r="E6" s="5" t="s">
        <v>5</v>
      </c>
      <c r="F6" s="22">
        <f>Q$9</f>
        <v>0.28990634938867882</v>
      </c>
      <c r="G6" s="25">
        <f>I$6*(1-F6)</f>
        <v>4.2605619036679272</v>
      </c>
      <c r="I6" s="5">
        <v>6</v>
      </c>
      <c r="L6" s="5">
        <v>1</v>
      </c>
      <c r="M6" s="5">
        <v>0.125</v>
      </c>
      <c r="N6" s="5">
        <v>1.7150000000000001</v>
      </c>
      <c r="O6" s="5">
        <v>1.34</v>
      </c>
      <c r="P6" s="28">
        <f>O6-M6</f>
        <v>1.2150000000000001</v>
      </c>
      <c r="Q6" s="23">
        <f>(N6-P6)/N6</f>
        <v>0.29154518950437314</v>
      </c>
    </row>
    <row r="7" spans="2:17" x14ac:dyDescent="0.35">
      <c r="B7" s="5">
        <v>2</v>
      </c>
      <c r="C7" s="9">
        <v>0.3125</v>
      </c>
      <c r="D7" s="9">
        <v>0.34027777777777779</v>
      </c>
      <c r="E7" s="5" t="s">
        <v>5</v>
      </c>
      <c r="F7" s="22">
        <f t="shared" ref="F7:F21" si="0">Q$9</f>
        <v>0.28990634938867882</v>
      </c>
      <c r="G7" s="25">
        <f t="shared" ref="G7:G21" si="1">I$6*(1-F7)</f>
        <v>4.2605619036679272</v>
      </c>
      <c r="L7" s="5">
        <v>2</v>
      </c>
      <c r="M7" s="5">
        <v>0.125</v>
      </c>
      <c r="N7" s="5">
        <v>1.95</v>
      </c>
      <c r="O7" s="25">
        <v>1.4850000000000001</v>
      </c>
      <c r="P7" s="4">
        <f t="shared" ref="P7:P8" si="2">O7-M7</f>
        <v>1.36</v>
      </c>
      <c r="Q7" s="23">
        <f t="shared" ref="Q7:Q8" si="3">(N7-P7)/N7</f>
        <v>0.30256410256410249</v>
      </c>
    </row>
    <row r="8" spans="2:17" x14ac:dyDescent="0.35">
      <c r="B8" s="5">
        <v>3</v>
      </c>
      <c r="C8" s="9">
        <v>0.35069444444444442</v>
      </c>
      <c r="D8" s="9">
        <v>0.40277777777777779</v>
      </c>
      <c r="E8" s="5" t="s">
        <v>5</v>
      </c>
      <c r="F8" s="22">
        <f t="shared" si="0"/>
        <v>0.28990634938867882</v>
      </c>
      <c r="G8" s="25">
        <f t="shared" si="1"/>
        <v>4.2605619036679272</v>
      </c>
      <c r="L8" s="5">
        <v>3</v>
      </c>
      <c r="M8" s="5">
        <v>0.125</v>
      </c>
      <c r="N8" s="5">
        <v>2.0499999999999998</v>
      </c>
      <c r="O8" s="5">
        <v>1.61</v>
      </c>
      <c r="P8" s="28">
        <f t="shared" si="2"/>
        <v>1.4850000000000001</v>
      </c>
      <c r="Q8" s="23">
        <f t="shared" si="3"/>
        <v>0.27560975609756089</v>
      </c>
    </row>
    <row r="9" spans="2:17" x14ac:dyDescent="0.35">
      <c r="B9" s="5">
        <v>4</v>
      </c>
      <c r="C9" s="9">
        <v>0.4236111111111111</v>
      </c>
      <c r="D9" s="9">
        <v>0.45694444444444443</v>
      </c>
      <c r="E9" s="5" t="s">
        <v>5</v>
      </c>
      <c r="F9" s="22">
        <f t="shared" si="0"/>
        <v>0.28990634938867882</v>
      </c>
      <c r="G9" s="25">
        <f t="shared" si="1"/>
        <v>4.2605619036679272</v>
      </c>
      <c r="L9" s="27" t="s">
        <v>32</v>
      </c>
      <c r="M9" s="93"/>
      <c r="N9" s="103"/>
      <c r="O9" s="103"/>
      <c r="P9" s="94"/>
      <c r="Q9" s="26">
        <f>AVERAGE(Q6:Q8)</f>
        <v>0.28990634938867882</v>
      </c>
    </row>
    <row r="10" spans="2:17" x14ac:dyDescent="0.35">
      <c r="B10" s="5">
        <v>5</v>
      </c>
      <c r="C10" s="9">
        <v>0.46597222222222223</v>
      </c>
      <c r="D10" s="9">
        <v>0.49166666666666664</v>
      </c>
      <c r="E10" s="5" t="s">
        <v>5</v>
      </c>
      <c r="F10" s="22">
        <f t="shared" si="0"/>
        <v>0.28990634938867882</v>
      </c>
      <c r="G10" s="25">
        <f t="shared" si="1"/>
        <v>4.2605619036679272</v>
      </c>
    </row>
    <row r="11" spans="2:17" x14ac:dyDescent="0.35">
      <c r="B11" s="5">
        <v>6</v>
      </c>
      <c r="C11" s="9">
        <v>0.51041666666666663</v>
      </c>
      <c r="D11" s="9">
        <v>0.53472222222222221</v>
      </c>
      <c r="E11" s="5" t="s">
        <v>5</v>
      </c>
      <c r="F11" s="22">
        <f t="shared" si="0"/>
        <v>0.28990634938867882</v>
      </c>
      <c r="G11" s="25">
        <f t="shared" si="1"/>
        <v>4.2605619036679272</v>
      </c>
    </row>
    <row r="12" spans="2:17" x14ac:dyDescent="0.35">
      <c r="B12" s="5">
        <v>7</v>
      </c>
      <c r="C12" s="9">
        <v>0.54097222222222219</v>
      </c>
      <c r="D12" s="9">
        <v>0.56666666666666665</v>
      </c>
      <c r="E12" s="5" t="s">
        <v>5</v>
      </c>
      <c r="F12" s="22">
        <f t="shared" si="0"/>
        <v>0.28990634938867882</v>
      </c>
      <c r="G12" s="25">
        <f t="shared" si="1"/>
        <v>4.2605619036679272</v>
      </c>
    </row>
    <row r="13" spans="2:17" x14ac:dyDescent="0.35">
      <c r="B13" s="5">
        <v>8</v>
      </c>
      <c r="C13" s="9">
        <v>0.57291666666666663</v>
      </c>
      <c r="D13" s="9">
        <v>0.66527777777777775</v>
      </c>
      <c r="E13" s="5" t="s">
        <v>5</v>
      </c>
      <c r="F13" s="22">
        <f t="shared" si="0"/>
        <v>0.28990634938867882</v>
      </c>
      <c r="G13" s="25">
        <f t="shared" si="1"/>
        <v>4.2605619036679272</v>
      </c>
    </row>
    <row r="14" spans="2:17" x14ac:dyDescent="0.35">
      <c r="B14" s="5">
        <v>9</v>
      </c>
      <c r="C14" s="9">
        <v>0.63194444444444442</v>
      </c>
      <c r="D14" s="9">
        <v>0.72361111111111109</v>
      </c>
      <c r="E14" s="5" t="s">
        <v>5</v>
      </c>
      <c r="F14" s="22">
        <f t="shared" si="0"/>
        <v>0.28990634938867882</v>
      </c>
      <c r="G14" s="25">
        <f t="shared" si="1"/>
        <v>4.2605619036679272</v>
      </c>
    </row>
    <row r="15" spans="2:17" x14ac:dyDescent="0.35">
      <c r="B15" s="5">
        <v>10</v>
      </c>
      <c r="C15" s="9">
        <v>0.98611111111111116</v>
      </c>
      <c r="D15" s="9">
        <v>3.888888888888889E-2</v>
      </c>
      <c r="E15" s="5" t="s">
        <v>5</v>
      </c>
      <c r="F15" s="22">
        <f t="shared" si="0"/>
        <v>0.28990634938867882</v>
      </c>
      <c r="G15" s="25">
        <f t="shared" si="1"/>
        <v>4.2605619036679272</v>
      </c>
    </row>
    <row r="16" spans="2:17" x14ac:dyDescent="0.35">
      <c r="B16" s="5">
        <v>11</v>
      </c>
      <c r="C16" s="9">
        <v>4.2361111111111113E-2</v>
      </c>
      <c r="D16" s="9">
        <v>7.1527777777777773E-2</v>
      </c>
      <c r="E16" s="5" t="s">
        <v>5</v>
      </c>
      <c r="F16" s="22">
        <f t="shared" si="0"/>
        <v>0.28990634938867882</v>
      </c>
      <c r="G16" s="25">
        <f t="shared" si="1"/>
        <v>4.2605619036679272</v>
      </c>
    </row>
    <row r="17" spans="2:7" x14ac:dyDescent="0.35">
      <c r="B17" s="5">
        <v>12</v>
      </c>
      <c r="C17" s="9">
        <v>7.2916666666666671E-2</v>
      </c>
      <c r="D17" s="9">
        <v>0.10277777777777777</v>
      </c>
      <c r="E17" s="5" t="s">
        <v>5</v>
      </c>
      <c r="F17" s="22">
        <f t="shared" si="0"/>
        <v>0.28990634938867882</v>
      </c>
      <c r="G17" s="25">
        <f t="shared" si="1"/>
        <v>4.2605619036679272</v>
      </c>
    </row>
    <row r="18" spans="2:7" x14ac:dyDescent="0.35">
      <c r="B18" s="5">
        <v>13</v>
      </c>
      <c r="C18" s="9">
        <v>0.10416666666666667</v>
      </c>
      <c r="D18" s="9">
        <v>0.1388888888888889</v>
      </c>
      <c r="E18" s="5" t="s">
        <v>5</v>
      </c>
      <c r="F18" s="22">
        <f t="shared" si="0"/>
        <v>0.28990634938867882</v>
      </c>
      <c r="G18" s="25">
        <f t="shared" si="1"/>
        <v>4.2605619036679272</v>
      </c>
    </row>
    <row r="19" spans="2:7" x14ac:dyDescent="0.35">
      <c r="B19" s="5">
        <v>14</v>
      </c>
      <c r="C19" s="9">
        <v>0.13958333333333334</v>
      </c>
      <c r="D19" s="9">
        <v>0.21041666666666667</v>
      </c>
      <c r="E19" s="5" t="s">
        <v>5</v>
      </c>
      <c r="F19" s="22">
        <f t="shared" si="0"/>
        <v>0.28990634938867882</v>
      </c>
      <c r="G19" s="25">
        <f t="shared" si="1"/>
        <v>4.2605619036679272</v>
      </c>
    </row>
    <row r="20" spans="2:7" x14ac:dyDescent="0.35">
      <c r="B20" s="5">
        <v>15</v>
      </c>
      <c r="C20" s="9">
        <v>0.21249999999999999</v>
      </c>
      <c r="D20" s="9">
        <v>0.27777777777777779</v>
      </c>
      <c r="E20" s="5" t="s">
        <v>5</v>
      </c>
      <c r="F20" s="22">
        <f t="shared" si="0"/>
        <v>0.28990634938867882</v>
      </c>
      <c r="G20" s="25">
        <f t="shared" si="1"/>
        <v>4.2605619036679272</v>
      </c>
    </row>
    <row r="21" spans="2:7" x14ac:dyDescent="0.35">
      <c r="B21" s="5">
        <v>16</v>
      </c>
      <c r="C21" s="9">
        <v>0.27916666666666667</v>
      </c>
      <c r="D21" s="9">
        <v>0.30555555555555558</v>
      </c>
      <c r="E21" s="5" t="s">
        <v>5</v>
      </c>
      <c r="F21" s="22">
        <f t="shared" si="0"/>
        <v>0.28990634938867882</v>
      </c>
      <c r="G21" s="25">
        <f t="shared" si="1"/>
        <v>4.2605619036679272</v>
      </c>
    </row>
    <row r="22" spans="2:7" x14ac:dyDescent="0.35">
      <c r="B22" s="29" t="s">
        <v>22</v>
      </c>
      <c r="C22" s="104"/>
      <c r="D22" s="105"/>
      <c r="E22" s="105"/>
      <c r="F22" s="106"/>
      <c r="G22" s="30">
        <f>SUM(G6:G21)</f>
        <v>68.168990458686835</v>
      </c>
    </row>
  </sheetData>
  <mergeCells count="8">
    <mergeCell ref="M9:P9"/>
    <mergeCell ref="C22:F22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A708-BFE6-40E9-B8FD-F45F884CE330}">
  <dimension ref="D4:K13"/>
  <sheetViews>
    <sheetView view="pageBreakPreview" topLeftCell="B1" zoomScaleNormal="100" workbookViewId="0">
      <selection activeCell="G13" sqref="G13"/>
    </sheetView>
  </sheetViews>
  <sheetFormatPr defaultRowHeight="14.5" x14ac:dyDescent="0.35"/>
  <cols>
    <col min="1" max="3" width="8.7265625" style="1"/>
    <col min="4" max="4" width="10.81640625" style="1" bestFit="1" customWidth="1"/>
    <col min="5" max="5" width="15" style="1" customWidth="1"/>
    <col min="6" max="6" width="12.54296875" style="1" customWidth="1"/>
    <col min="7" max="7" width="12.26953125" style="1" customWidth="1"/>
    <col min="8" max="8" width="11.453125" style="1" customWidth="1"/>
    <col min="9" max="9" width="11.08984375" style="1" customWidth="1"/>
    <col min="10" max="10" width="16.26953125" style="1" customWidth="1"/>
    <col min="11" max="16384" width="8.7265625" style="1"/>
  </cols>
  <sheetData>
    <row r="4" spans="4:11" x14ac:dyDescent="0.35">
      <c r="D4" s="29" t="s">
        <v>39</v>
      </c>
      <c r="E4" s="29" t="s">
        <v>40</v>
      </c>
      <c r="F4" s="29" t="s">
        <v>41</v>
      </c>
      <c r="G4" s="29" t="s">
        <v>42</v>
      </c>
      <c r="H4" s="29" t="s">
        <v>43</v>
      </c>
      <c r="I4" s="29" t="s">
        <v>44</v>
      </c>
      <c r="J4" s="29" t="s">
        <v>45</v>
      </c>
      <c r="K4" s="34" t="s">
        <v>46</v>
      </c>
    </row>
    <row r="5" spans="4:11" x14ac:dyDescent="0.35">
      <c r="D5" s="5">
        <v>0</v>
      </c>
      <c r="E5" s="5"/>
      <c r="F5" s="5"/>
      <c r="G5" s="5"/>
      <c r="H5" s="4"/>
      <c r="I5" s="4"/>
      <c r="J5" s="4"/>
      <c r="K5" s="5">
        <v>1000</v>
      </c>
    </row>
    <row r="6" spans="4:11" x14ac:dyDescent="0.35">
      <c r="D6" s="5">
        <v>1</v>
      </c>
      <c r="E6" s="5"/>
      <c r="F6" s="5"/>
      <c r="G6" s="5"/>
      <c r="H6" s="4"/>
      <c r="I6" s="4"/>
      <c r="J6" s="4"/>
      <c r="K6" s="5">
        <v>920</v>
      </c>
    </row>
    <row r="7" spans="4:11" x14ac:dyDescent="0.35">
      <c r="D7" s="5">
        <v>2</v>
      </c>
      <c r="E7" s="5"/>
      <c r="F7" s="5"/>
      <c r="G7" s="5"/>
      <c r="H7" s="4"/>
      <c r="I7" s="4"/>
      <c r="J7" s="4"/>
      <c r="K7" s="5">
        <v>680</v>
      </c>
    </row>
    <row r="8" spans="4:11" x14ac:dyDescent="0.35">
      <c r="D8" s="5">
        <v>3</v>
      </c>
      <c r="E8" s="5"/>
      <c r="F8" s="5"/>
      <c r="G8" s="5"/>
      <c r="H8" s="4"/>
      <c r="I8" s="4"/>
      <c r="J8" s="4"/>
      <c r="K8" s="5"/>
    </row>
    <row r="9" spans="4:11" x14ac:dyDescent="0.35">
      <c r="D9" s="5">
        <v>4</v>
      </c>
      <c r="E9" s="5"/>
      <c r="F9" s="5"/>
      <c r="G9" s="5"/>
      <c r="H9" s="4"/>
      <c r="I9" s="4"/>
      <c r="J9" s="4"/>
      <c r="K9" s="5"/>
    </row>
    <row r="10" spans="4:11" x14ac:dyDescent="0.35">
      <c r="D10" s="5">
        <v>5</v>
      </c>
      <c r="E10" s="5"/>
      <c r="F10" s="5"/>
      <c r="G10" s="5"/>
      <c r="H10" s="4"/>
      <c r="I10" s="4"/>
      <c r="J10" s="4"/>
      <c r="K10" s="5"/>
    </row>
    <row r="11" spans="4:11" x14ac:dyDescent="0.35">
      <c r="D11" s="5">
        <v>6</v>
      </c>
      <c r="E11" s="5"/>
      <c r="F11" s="5"/>
      <c r="G11" s="5"/>
      <c r="H11" s="4"/>
      <c r="I11" s="4"/>
      <c r="J11" s="4"/>
      <c r="K11" s="5"/>
    </row>
    <row r="12" spans="4:11" x14ac:dyDescent="0.35">
      <c r="D12" s="5">
        <v>7</v>
      </c>
      <c r="E12" s="5"/>
      <c r="F12" s="5"/>
      <c r="G12" s="5"/>
      <c r="H12" s="5"/>
      <c r="I12" s="5"/>
      <c r="J12" s="5"/>
      <c r="K12" s="5"/>
    </row>
    <row r="13" spans="4:11" x14ac:dyDescent="0.35">
      <c r="D13" s="5">
        <v>8</v>
      </c>
      <c r="E13" s="5"/>
      <c r="F13" s="5"/>
      <c r="G13" s="5"/>
      <c r="H13" s="5"/>
      <c r="I13" s="5"/>
      <c r="J13" s="5"/>
      <c r="K13" s="5"/>
    </row>
  </sheetData>
  <pageMargins left="0.7" right="0.7" top="0.75" bottom="0.75" header="0.3" footer="0.3"/>
  <pageSetup paperSize="9" scale="99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5C33-8181-4E20-A03A-CBEAC85A80AE}">
  <dimension ref="B3:Q22"/>
  <sheetViews>
    <sheetView workbookViewId="0">
      <selection activeCell="F6" sqref="F6:F21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9.36328125" style="1" bestFit="1" customWidth="1"/>
    <col min="14" max="14" width="10.81640625" style="1" bestFit="1" customWidth="1"/>
    <col min="15" max="15" width="15.90625" style="1" bestFit="1" customWidth="1"/>
    <col min="16" max="16" width="10.26953125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25</v>
      </c>
      <c r="N5" s="8" t="s">
        <v>26</v>
      </c>
      <c r="O5" s="8" t="s">
        <v>30</v>
      </c>
      <c r="P5" s="10" t="s">
        <v>27</v>
      </c>
      <c r="Q5" s="10" t="s">
        <v>31</v>
      </c>
    </row>
    <row r="6" spans="2:17" x14ac:dyDescent="0.35">
      <c r="B6" s="5">
        <v>1</v>
      </c>
      <c r="C6" s="9"/>
      <c r="D6" s="9"/>
      <c r="E6" s="5" t="s">
        <v>5</v>
      </c>
      <c r="F6" s="22">
        <v>0.35</v>
      </c>
      <c r="G6" s="25">
        <f>I$6*(1-F6)</f>
        <v>3.9000000000000004</v>
      </c>
      <c r="I6" s="5">
        <v>6</v>
      </c>
      <c r="L6" s="5">
        <v>1</v>
      </c>
      <c r="M6" s="5">
        <v>0.125</v>
      </c>
      <c r="N6" s="5">
        <v>1.58</v>
      </c>
      <c r="O6" s="5">
        <v>1.31</v>
      </c>
      <c r="P6" s="28">
        <f>O6-M6</f>
        <v>1.1850000000000001</v>
      </c>
      <c r="Q6" s="23">
        <f>(N6-P6)/N6</f>
        <v>0.25</v>
      </c>
    </row>
    <row r="7" spans="2:17" x14ac:dyDescent="0.35">
      <c r="B7" s="5">
        <v>2</v>
      </c>
      <c r="C7" s="9"/>
      <c r="D7" s="9"/>
      <c r="E7" s="5" t="s">
        <v>5</v>
      </c>
      <c r="F7" s="22">
        <v>0.35</v>
      </c>
      <c r="G7" s="25">
        <f t="shared" ref="G7:G21" si="0">I$6*(1-F7)</f>
        <v>3.9000000000000004</v>
      </c>
      <c r="L7" s="5">
        <v>2</v>
      </c>
      <c r="M7" s="5">
        <v>0.125</v>
      </c>
      <c r="N7" s="5">
        <v>1.655</v>
      </c>
      <c r="O7" s="25">
        <v>1.36</v>
      </c>
      <c r="P7" s="4">
        <f t="shared" ref="P7:P8" si="1">O7-M7</f>
        <v>1.2350000000000001</v>
      </c>
      <c r="Q7" s="23">
        <f t="shared" ref="Q7:Q8" si="2">(N7-P7)/N7</f>
        <v>0.25377643504531716</v>
      </c>
    </row>
    <row r="8" spans="2:17" x14ac:dyDescent="0.35">
      <c r="B8" s="5">
        <v>3</v>
      </c>
      <c r="C8" s="9"/>
      <c r="D8" s="9"/>
      <c r="E8" s="5" t="s">
        <v>5</v>
      </c>
      <c r="F8" s="22">
        <v>0.35</v>
      </c>
      <c r="G8" s="25">
        <f t="shared" si="0"/>
        <v>3.9000000000000004</v>
      </c>
      <c r="L8" s="5">
        <v>3</v>
      </c>
      <c r="M8" s="5">
        <v>0.15</v>
      </c>
      <c r="N8" s="5">
        <v>1.7689999999999999</v>
      </c>
      <c r="O8" s="5">
        <v>1.4450000000000001</v>
      </c>
      <c r="P8" s="28">
        <f t="shared" si="1"/>
        <v>1.2950000000000002</v>
      </c>
      <c r="Q8" s="23">
        <f t="shared" si="2"/>
        <v>0.26794799321650636</v>
      </c>
    </row>
    <row r="9" spans="2:17" x14ac:dyDescent="0.35">
      <c r="B9" s="5">
        <v>4</v>
      </c>
      <c r="C9" s="9"/>
      <c r="D9" s="9"/>
      <c r="E9" s="5" t="s">
        <v>5</v>
      </c>
      <c r="F9" s="22">
        <v>0.35</v>
      </c>
      <c r="G9" s="25">
        <f t="shared" si="0"/>
        <v>3.9000000000000004</v>
      </c>
      <c r="L9" s="27" t="s">
        <v>32</v>
      </c>
      <c r="M9" s="93"/>
      <c r="N9" s="103"/>
      <c r="O9" s="103"/>
      <c r="P9" s="94"/>
      <c r="Q9" s="26">
        <f>AVERAGE(Q6:Q8)</f>
        <v>0.25724147608727449</v>
      </c>
    </row>
    <row r="10" spans="2:17" x14ac:dyDescent="0.35">
      <c r="B10" s="5">
        <v>5</v>
      </c>
      <c r="C10" s="9"/>
      <c r="D10" s="9"/>
      <c r="E10" s="5" t="s">
        <v>5</v>
      </c>
      <c r="F10" s="22">
        <v>0.35</v>
      </c>
      <c r="G10" s="25">
        <f t="shared" si="0"/>
        <v>3.9000000000000004</v>
      </c>
    </row>
    <row r="11" spans="2:17" x14ac:dyDescent="0.35">
      <c r="B11" s="5">
        <v>6</v>
      </c>
      <c r="C11" s="9"/>
      <c r="D11" s="9"/>
      <c r="E11" s="5" t="s">
        <v>5</v>
      </c>
      <c r="F11" s="22">
        <v>0.35</v>
      </c>
      <c r="G11" s="25">
        <f t="shared" si="0"/>
        <v>3.9000000000000004</v>
      </c>
    </row>
    <row r="12" spans="2:17" x14ac:dyDescent="0.35">
      <c r="B12" s="5">
        <v>7</v>
      </c>
      <c r="C12" s="9"/>
      <c r="D12" s="9"/>
      <c r="E12" s="5" t="s">
        <v>5</v>
      </c>
      <c r="F12" s="22">
        <v>0.35</v>
      </c>
      <c r="G12" s="25">
        <f t="shared" si="0"/>
        <v>3.9000000000000004</v>
      </c>
    </row>
    <row r="13" spans="2:17" x14ac:dyDescent="0.35">
      <c r="B13" s="5">
        <v>1</v>
      </c>
      <c r="C13" s="9"/>
      <c r="D13" s="9"/>
      <c r="E13" s="5" t="s">
        <v>5</v>
      </c>
      <c r="F13" s="22">
        <v>0.35</v>
      </c>
      <c r="G13" s="25">
        <f t="shared" si="0"/>
        <v>3.9000000000000004</v>
      </c>
    </row>
    <row r="14" spans="2:17" x14ac:dyDescent="0.35">
      <c r="B14" s="5">
        <v>2</v>
      </c>
      <c r="C14" s="9"/>
      <c r="D14" s="9"/>
      <c r="E14" s="5" t="s">
        <v>5</v>
      </c>
      <c r="F14" s="22">
        <v>0.35</v>
      </c>
      <c r="G14" s="25">
        <f t="shared" si="0"/>
        <v>3.9000000000000004</v>
      </c>
    </row>
    <row r="15" spans="2:17" x14ac:dyDescent="0.35">
      <c r="B15" s="5">
        <v>3</v>
      </c>
      <c r="C15" s="9"/>
      <c r="D15" s="9"/>
      <c r="E15" s="5" t="s">
        <v>5</v>
      </c>
      <c r="F15" s="22">
        <v>0.35</v>
      </c>
      <c r="G15" s="25">
        <f t="shared" si="0"/>
        <v>3.9000000000000004</v>
      </c>
    </row>
    <row r="16" spans="2:17" x14ac:dyDescent="0.35">
      <c r="B16" s="5">
        <v>4</v>
      </c>
      <c r="C16" s="9"/>
      <c r="D16" s="9"/>
      <c r="E16" s="5" t="s">
        <v>5</v>
      </c>
      <c r="F16" s="22">
        <v>0.35</v>
      </c>
      <c r="G16" s="25">
        <f t="shared" si="0"/>
        <v>3.9000000000000004</v>
      </c>
    </row>
    <row r="17" spans="2:7" x14ac:dyDescent="0.35">
      <c r="B17" s="5">
        <v>5</v>
      </c>
      <c r="C17" s="9"/>
      <c r="D17" s="9"/>
      <c r="E17" s="5" t="s">
        <v>5</v>
      </c>
      <c r="F17" s="22">
        <v>0.35</v>
      </c>
      <c r="G17" s="25">
        <f t="shared" si="0"/>
        <v>3.9000000000000004</v>
      </c>
    </row>
    <row r="18" spans="2:7" x14ac:dyDescent="0.35">
      <c r="B18" s="5">
        <v>6</v>
      </c>
      <c r="C18" s="9"/>
      <c r="D18" s="9"/>
      <c r="E18" s="5" t="s">
        <v>5</v>
      </c>
      <c r="F18" s="22">
        <v>0.35</v>
      </c>
      <c r="G18" s="25">
        <f t="shared" si="0"/>
        <v>3.9000000000000004</v>
      </c>
    </row>
    <row r="19" spans="2:7" x14ac:dyDescent="0.35">
      <c r="B19" s="5">
        <v>7</v>
      </c>
      <c r="C19" s="9"/>
      <c r="D19" s="9"/>
      <c r="E19" s="5" t="s">
        <v>5</v>
      </c>
      <c r="F19" s="22">
        <v>0.35</v>
      </c>
      <c r="G19" s="25">
        <f t="shared" si="0"/>
        <v>3.9000000000000004</v>
      </c>
    </row>
    <row r="20" spans="2:7" x14ac:dyDescent="0.35">
      <c r="B20" s="5">
        <v>8</v>
      </c>
      <c r="C20" s="9"/>
      <c r="D20" s="9"/>
      <c r="E20" s="5" t="s">
        <v>5</v>
      </c>
      <c r="F20" s="22">
        <v>0.35</v>
      </c>
      <c r="G20" s="25">
        <f t="shared" si="0"/>
        <v>3.9000000000000004</v>
      </c>
    </row>
    <row r="21" spans="2:7" x14ac:dyDescent="0.35">
      <c r="B21" s="5">
        <v>9</v>
      </c>
      <c r="C21" s="9"/>
      <c r="D21" s="9"/>
      <c r="E21" s="5" t="s">
        <v>5</v>
      </c>
      <c r="F21" s="22">
        <v>0.35</v>
      </c>
      <c r="G21" s="25">
        <f t="shared" si="0"/>
        <v>3.9000000000000004</v>
      </c>
    </row>
    <row r="22" spans="2:7" x14ac:dyDescent="0.35">
      <c r="B22" s="29" t="s">
        <v>22</v>
      </c>
      <c r="C22" s="104"/>
      <c r="D22" s="105"/>
      <c r="E22" s="105"/>
      <c r="F22" s="106"/>
      <c r="G22" s="30">
        <f>SUM(G13:G21)</f>
        <v>35.099999999999994</v>
      </c>
    </row>
  </sheetData>
  <mergeCells count="8">
    <mergeCell ref="M9:P9"/>
    <mergeCell ref="C22:F22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2F2E-5820-4CA0-9D1C-201FBB8C5CC9}">
  <dimension ref="B3:Q22"/>
  <sheetViews>
    <sheetView workbookViewId="0">
      <selection activeCell="G6" sqref="G6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9.36328125" style="1" bestFit="1" customWidth="1"/>
    <col min="14" max="14" width="10.81640625" style="1" bestFit="1" customWidth="1"/>
    <col min="15" max="15" width="15.90625" style="1" bestFit="1" customWidth="1"/>
    <col min="16" max="16" width="10.26953125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25</v>
      </c>
      <c r="N5" s="8" t="s">
        <v>26</v>
      </c>
      <c r="O5" s="8" t="s">
        <v>30</v>
      </c>
      <c r="P5" s="10" t="s">
        <v>27</v>
      </c>
      <c r="Q5" s="10" t="s">
        <v>31</v>
      </c>
    </row>
    <row r="6" spans="2:17" x14ac:dyDescent="0.35">
      <c r="B6" s="5">
        <v>1</v>
      </c>
      <c r="C6" s="9"/>
      <c r="D6" s="9"/>
      <c r="E6" s="5" t="s">
        <v>5</v>
      </c>
      <c r="F6" s="22">
        <v>0.35</v>
      </c>
      <c r="G6" s="25">
        <f>I$6*(1-F6)</f>
        <v>3.9000000000000004</v>
      </c>
      <c r="I6" s="5">
        <v>6</v>
      </c>
      <c r="L6" s="5">
        <v>1</v>
      </c>
      <c r="M6" s="5">
        <v>0.125</v>
      </c>
      <c r="N6" s="5">
        <v>1.58</v>
      </c>
      <c r="O6" s="5">
        <v>1.31</v>
      </c>
      <c r="P6" s="28">
        <f>O6-M6</f>
        <v>1.1850000000000001</v>
      </c>
      <c r="Q6" s="23">
        <f>(N6-P6)/N6</f>
        <v>0.25</v>
      </c>
    </row>
    <row r="7" spans="2:17" x14ac:dyDescent="0.35">
      <c r="B7" s="5">
        <v>2</v>
      </c>
      <c r="C7" s="9"/>
      <c r="D7" s="9"/>
      <c r="E7" s="5" t="s">
        <v>5</v>
      </c>
      <c r="F7" s="22">
        <v>0.35</v>
      </c>
      <c r="G7" s="25">
        <f t="shared" ref="G7:G21" si="0">I$6*(1-F7)</f>
        <v>3.9000000000000004</v>
      </c>
      <c r="L7" s="5">
        <v>2</v>
      </c>
      <c r="M7" s="5">
        <v>0.125</v>
      </c>
      <c r="N7" s="5">
        <v>1.655</v>
      </c>
      <c r="O7" s="25">
        <v>1.36</v>
      </c>
      <c r="P7" s="4">
        <f t="shared" ref="P7:P8" si="1">O7-M7</f>
        <v>1.2350000000000001</v>
      </c>
      <c r="Q7" s="23">
        <f t="shared" ref="Q7:Q8" si="2">(N7-P7)/N7</f>
        <v>0.25377643504531716</v>
      </c>
    </row>
    <row r="8" spans="2:17" x14ac:dyDescent="0.35">
      <c r="B8" s="5">
        <v>3</v>
      </c>
      <c r="C8" s="9"/>
      <c r="D8" s="9"/>
      <c r="E8" s="5" t="s">
        <v>5</v>
      </c>
      <c r="F8" s="22">
        <v>0.35</v>
      </c>
      <c r="G8" s="25">
        <f t="shared" si="0"/>
        <v>3.9000000000000004</v>
      </c>
      <c r="L8" s="5">
        <v>3</v>
      </c>
      <c r="M8" s="5">
        <v>0.15</v>
      </c>
      <c r="N8" s="5">
        <v>1.7689999999999999</v>
      </c>
      <c r="O8" s="5">
        <v>1.4450000000000001</v>
      </c>
      <c r="P8" s="28">
        <f t="shared" si="1"/>
        <v>1.2950000000000002</v>
      </c>
      <c r="Q8" s="23">
        <f t="shared" si="2"/>
        <v>0.26794799321650636</v>
      </c>
    </row>
    <row r="9" spans="2:17" x14ac:dyDescent="0.35">
      <c r="B9" s="5">
        <v>4</v>
      </c>
      <c r="C9" s="9"/>
      <c r="D9" s="9"/>
      <c r="E9" s="5" t="s">
        <v>5</v>
      </c>
      <c r="F9" s="22">
        <v>0.35</v>
      </c>
      <c r="G9" s="25">
        <f t="shared" si="0"/>
        <v>3.9000000000000004</v>
      </c>
      <c r="L9" s="27" t="s">
        <v>32</v>
      </c>
      <c r="M9" s="93"/>
      <c r="N9" s="103"/>
      <c r="O9" s="103"/>
      <c r="P9" s="94"/>
      <c r="Q9" s="26">
        <f>AVERAGE(Q6:Q8)</f>
        <v>0.25724147608727449</v>
      </c>
    </row>
    <row r="10" spans="2:17" x14ac:dyDescent="0.35">
      <c r="B10" s="5">
        <v>5</v>
      </c>
      <c r="C10" s="9"/>
      <c r="D10" s="9"/>
      <c r="E10" s="5" t="s">
        <v>5</v>
      </c>
      <c r="F10" s="22">
        <v>0.35</v>
      </c>
      <c r="G10" s="25">
        <f t="shared" si="0"/>
        <v>3.9000000000000004</v>
      </c>
    </row>
    <row r="11" spans="2:17" x14ac:dyDescent="0.35">
      <c r="B11" s="5">
        <v>6</v>
      </c>
      <c r="C11" s="9"/>
      <c r="D11" s="9"/>
      <c r="E11" s="5" t="s">
        <v>5</v>
      </c>
      <c r="F11" s="22">
        <v>0.35</v>
      </c>
      <c r="G11" s="25">
        <f t="shared" si="0"/>
        <v>3.9000000000000004</v>
      </c>
    </row>
    <row r="12" spans="2:17" x14ac:dyDescent="0.35">
      <c r="B12" s="5">
        <v>7</v>
      </c>
      <c r="C12" s="9"/>
      <c r="D12" s="9"/>
      <c r="E12" s="5" t="s">
        <v>5</v>
      </c>
      <c r="F12" s="22">
        <v>0.35</v>
      </c>
      <c r="G12" s="25">
        <f t="shared" si="0"/>
        <v>3.9000000000000004</v>
      </c>
    </row>
    <row r="13" spans="2:17" x14ac:dyDescent="0.35">
      <c r="B13" s="5">
        <v>8</v>
      </c>
      <c r="C13" s="9"/>
      <c r="D13" s="9"/>
      <c r="E13" s="5" t="s">
        <v>5</v>
      </c>
      <c r="F13" s="22">
        <v>0.35</v>
      </c>
      <c r="G13" s="25">
        <f t="shared" si="0"/>
        <v>3.9000000000000004</v>
      </c>
    </row>
    <row r="14" spans="2:17" x14ac:dyDescent="0.35">
      <c r="B14" s="5">
        <v>9</v>
      </c>
      <c r="C14" s="9"/>
      <c r="D14" s="9"/>
      <c r="E14" s="5" t="s">
        <v>5</v>
      </c>
      <c r="F14" s="22">
        <v>0.35</v>
      </c>
      <c r="G14" s="25">
        <f t="shared" si="0"/>
        <v>3.9000000000000004</v>
      </c>
    </row>
    <row r="15" spans="2:17" x14ac:dyDescent="0.35">
      <c r="B15" s="5">
        <v>10</v>
      </c>
      <c r="C15" s="9"/>
      <c r="D15" s="9"/>
      <c r="E15" s="5" t="s">
        <v>5</v>
      </c>
      <c r="F15" s="22">
        <v>0.35</v>
      </c>
      <c r="G15" s="25">
        <f t="shared" si="0"/>
        <v>3.9000000000000004</v>
      </c>
    </row>
    <row r="16" spans="2:17" x14ac:dyDescent="0.35">
      <c r="B16" s="5">
        <v>11</v>
      </c>
      <c r="C16" s="9"/>
      <c r="D16" s="9"/>
      <c r="E16" s="5" t="s">
        <v>5</v>
      </c>
      <c r="F16" s="22">
        <v>0.35</v>
      </c>
      <c r="G16" s="25">
        <f t="shared" si="0"/>
        <v>3.9000000000000004</v>
      </c>
    </row>
    <row r="17" spans="2:7" x14ac:dyDescent="0.35">
      <c r="B17" s="5">
        <v>12</v>
      </c>
      <c r="C17" s="9"/>
      <c r="D17" s="9"/>
      <c r="E17" s="5" t="s">
        <v>5</v>
      </c>
      <c r="F17" s="22">
        <v>0.35</v>
      </c>
      <c r="G17" s="25">
        <f t="shared" si="0"/>
        <v>3.9000000000000004</v>
      </c>
    </row>
    <row r="18" spans="2:7" x14ac:dyDescent="0.35">
      <c r="B18" s="5">
        <v>13</v>
      </c>
      <c r="C18" s="9"/>
      <c r="D18" s="9"/>
      <c r="E18" s="5" t="s">
        <v>5</v>
      </c>
      <c r="F18" s="22">
        <v>0.35</v>
      </c>
      <c r="G18" s="25">
        <f t="shared" si="0"/>
        <v>3.9000000000000004</v>
      </c>
    </row>
    <row r="19" spans="2:7" x14ac:dyDescent="0.35">
      <c r="B19" s="5">
        <v>14</v>
      </c>
      <c r="C19" s="9"/>
      <c r="D19" s="9"/>
      <c r="E19" s="5" t="s">
        <v>5</v>
      </c>
      <c r="F19" s="22">
        <v>0.35</v>
      </c>
      <c r="G19" s="25">
        <f t="shared" si="0"/>
        <v>3.9000000000000004</v>
      </c>
    </row>
    <row r="20" spans="2:7" x14ac:dyDescent="0.35">
      <c r="B20" s="5">
        <v>15</v>
      </c>
      <c r="C20" s="9"/>
      <c r="D20" s="9"/>
      <c r="E20" s="5" t="s">
        <v>5</v>
      </c>
      <c r="F20" s="22">
        <v>0.35</v>
      </c>
      <c r="G20" s="25">
        <f t="shared" si="0"/>
        <v>3.9000000000000004</v>
      </c>
    </row>
    <row r="21" spans="2:7" x14ac:dyDescent="0.35">
      <c r="B21" s="5">
        <v>16</v>
      </c>
      <c r="C21" s="9"/>
      <c r="D21" s="9"/>
      <c r="E21" s="5" t="s">
        <v>5</v>
      </c>
      <c r="F21" s="22">
        <v>0.35</v>
      </c>
      <c r="G21" s="25">
        <f t="shared" si="0"/>
        <v>3.9000000000000004</v>
      </c>
    </row>
    <row r="22" spans="2:7" x14ac:dyDescent="0.35">
      <c r="B22" s="29" t="s">
        <v>22</v>
      </c>
      <c r="C22" s="104"/>
      <c r="D22" s="105"/>
      <c r="E22" s="105"/>
      <c r="F22" s="106"/>
      <c r="G22" s="30">
        <f>SUM(G13:G21)</f>
        <v>35.099999999999994</v>
      </c>
    </row>
  </sheetData>
  <mergeCells count="8">
    <mergeCell ref="M9:P9"/>
    <mergeCell ref="C22:F22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082F-9D2D-4537-9EE5-5B4460B0805C}">
  <dimension ref="B3:Q22"/>
  <sheetViews>
    <sheetView zoomScale="81" workbookViewId="0">
      <selection activeCell="J17" sqref="J17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9.36328125" style="1" bestFit="1" customWidth="1"/>
    <col min="14" max="14" width="10.81640625" style="1" bestFit="1" customWidth="1"/>
    <col min="15" max="15" width="15.90625" style="1" bestFit="1" customWidth="1"/>
    <col min="16" max="16" width="10.26953125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25</v>
      </c>
      <c r="N5" s="8" t="s">
        <v>26</v>
      </c>
      <c r="O5" s="8" t="s">
        <v>30</v>
      </c>
      <c r="P5" s="10" t="s">
        <v>27</v>
      </c>
      <c r="Q5" s="10" t="s">
        <v>31</v>
      </c>
    </row>
    <row r="6" spans="2:17" x14ac:dyDescent="0.35">
      <c r="B6" s="5">
        <v>1</v>
      </c>
      <c r="C6" s="9"/>
      <c r="D6" s="9"/>
      <c r="E6" s="5" t="s">
        <v>5</v>
      </c>
      <c r="F6" s="22">
        <v>0.36</v>
      </c>
      <c r="G6" s="25">
        <f>I$6*(1-F6)</f>
        <v>3.9020800000000002</v>
      </c>
      <c r="I6" s="25">
        <f>67*91/1000</f>
        <v>6.0970000000000004</v>
      </c>
      <c r="L6" s="5">
        <v>1</v>
      </c>
      <c r="M6" s="5">
        <v>0.125</v>
      </c>
      <c r="N6" s="5">
        <v>1.58</v>
      </c>
      <c r="O6" s="5">
        <v>1.31</v>
      </c>
      <c r="P6" s="28">
        <f>O6-M6</f>
        <v>1.1850000000000001</v>
      </c>
      <c r="Q6" s="23">
        <f>(N6-P6)/N6</f>
        <v>0.25</v>
      </c>
    </row>
    <row r="7" spans="2:17" x14ac:dyDescent="0.35">
      <c r="B7" s="5">
        <v>2</v>
      </c>
      <c r="C7" s="9"/>
      <c r="D7" s="9"/>
      <c r="E7" s="5" t="s">
        <v>5</v>
      </c>
      <c r="F7" s="22">
        <v>0.36</v>
      </c>
      <c r="G7" s="25">
        <f t="shared" ref="G7:G21" si="0">I$6*(1-F7)</f>
        <v>3.9020800000000002</v>
      </c>
      <c r="L7" s="5">
        <v>2</v>
      </c>
      <c r="M7" s="5">
        <v>0.125</v>
      </c>
      <c r="N7" s="5">
        <v>1.655</v>
      </c>
      <c r="O7" s="25">
        <v>1.36</v>
      </c>
      <c r="P7" s="4">
        <f t="shared" ref="P7:P8" si="1">O7-M7</f>
        <v>1.2350000000000001</v>
      </c>
      <c r="Q7" s="23">
        <f t="shared" ref="Q7:Q8" si="2">(N7-P7)/N7</f>
        <v>0.25377643504531716</v>
      </c>
    </row>
    <row r="8" spans="2:17" x14ac:dyDescent="0.35">
      <c r="B8" s="5">
        <v>3</v>
      </c>
      <c r="C8" s="9"/>
      <c r="D8" s="9"/>
      <c r="E8" s="5" t="s">
        <v>5</v>
      </c>
      <c r="F8" s="22">
        <v>0.36</v>
      </c>
      <c r="G8" s="25">
        <f t="shared" si="0"/>
        <v>3.9020800000000002</v>
      </c>
      <c r="L8" s="5">
        <v>3</v>
      </c>
      <c r="M8" s="5">
        <v>0.15</v>
      </c>
      <c r="N8" s="5">
        <v>1.7689999999999999</v>
      </c>
      <c r="O8" s="5">
        <v>1.4450000000000001</v>
      </c>
      <c r="P8" s="28">
        <f t="shared" si="1"/>
        <v>1.2950000000000002</v>
      </c>
      <c r="Q8" s="23">
        <f t="shared" si="2"/>
        <v>0.26794799321650636</v>
      </c>
    </row>
    <row r="9" spans="2:17" x14ac:dyDescent="0.35">
      <c r="B9" s="5">
        <v>4</v>
      </c>
      <c r="C9" s="9"/>
      <c r="D9" s="9"/>
      <c r="E9" s="5" t="s">
        <v>5</v>
      </c>
      <c r="F9" s="22">
        <v>0.36</v>
      </c>
      <c r="G9" s="25">
        <f t="shared" si="0"/>
        <v>3.9020800000000002</v>
      </c>
      <c r="L9" s="27" t="s">
        <v>32</v>
      </c>
      <c r="M9" s="93"/>
      <c r="N9" s="103"/>
      <c r="O9" s="103"/>
      <c r="P9" s="94"/>
      <c r="Q9" s="26">
        <f>AVERAGE(Q6:Q8)</f>
        <v>0.25724147608727449</v>
      </c>
    </row>
    <row r="10" spans="2:17" x14ac:dyDescent="0.35">
      <c r="B10" s="5">
        <v>5</v>
      </c>
      <c r="C10" s="9"/>
      <c r="D10" s="9"/>
      <c r="E10" s="5" t="s">
        <v>5</v>
      </c>
      <c r="F10" s="22">
        <v>0.36</v>
      </c>
      <c r="G10" s="25">
        <f t="shared" si="0"/>
        <v>3.9020800000000002</v>
      </c>
    </row>
    <row r="11" spans="2:17" x14ac:dyDescent="0.35">
      <c r="B11" s="5">
        <v>6</v>
      </c>
      <c r="C11" s="9"/>
      <c r="D11" s="9"/>
      <c r="E11" s="5" t="s">
        <v>5</v>
      </c>
      <c r="F11" s="22">
        <v>0.36</v>
      </c>
      <c r="G11" s="25">
        <f t="shared" si="0"/>
        <v>3.9020800000000002</v>
      </c>
    </row>
    <row r="12" spans="2:17" x14ac:dyDescent="0.35">
      <c r="B12" s="5">
        <v>7</v>
      </c>
      <c r="C12" s="9"/>
      <c r="D12" s="9"/>
      <c r="E12" s="5" t="s">
        <v>5</v>
      </c>
      <c r="F12" s="22">
        <v>0.36</v>
      </c>
      <c r="G12" s="25">
        <f t="shared" si="0"/>
        <v>3.9020800000000002</v>
      </c>
    </row>
    <row r="13" spans="2:17" x14ac:dyDescent="0.35">
      <c r="B13" s="5">
        <v>8</v>
      </c>
      <c r="C13" s="9"/>
      <c r="D13" s="9"/>
      <c r="E13" s="5" t="s">
        <v>5</v>
      </c>
      <c r="F13" s="22">
        <v>0.36</v>
      </c>
      <c r="G13" s="25">
        <f t="shared" si="0"/>
        <v>3.9020800000000002</v>
      </c>
    </row>
    <row r="14" spans="2:17" x14ac:dyDescent="0.35">
      <c r="B14" s="5">
        <v>9</v>
      </c>
      <c r="C14" s="9"/>
      <c r="D14" s="9"/>
      <c r="E14" s="5" t="s">
        <v>5</v>
      </c>
      <c r="F14" s="22">
        <v>0.36</v>
      </c>
      <c r="G14" s="25">
        <f t="shared" si="0"/>
        <v>3.9020800000000002</v>
      </c>
    </row>
    <row r="15" spans="2:17" x14ac:dyDescent="0.35">
      <c r="B15" s="5">
        <v>10</v>
      </c>
      <c r="C15" s="9"/>
      <c r="D15" s="9"/>
      <c r="E15" s="5" t="s">
        <v>5</v>
      </c>
      <c r="F15" s="22">
        <v>0.36</v>
      </c>
      <c r="G15" s="25">
        <f t="shared" si="0"/>
        <v>3.9020800000000002</v>
      </c>
    </row>
    <row r="16" spans="2:17" x14ac:dyDescent="0.35">
      <c r="B16" s="5">
        <v>11</v>
      </c>
      <c r="C16" s="9"/>
      <c r="D16" s="9"/>
      <c r="E16" s="5" t="s">
        <v>5</v>
      </c>
      <c r="F16" s="22">
        <v>0.36</v>
      </c>
      <c r="G16" s="25">
        <f t="shared" si="0"/>
        <v>3.9020800000000002</v>
      </c>
    </row>
    <row r="17" spans="2:7" x14ac:dyDescent="0.35">
      <c r="B17" s="5">
        <v>12</v>
      </c>
      <c r="C17" s="9"/>
      <c r="D17" s="9"/>
      <c r="E17" s="5" t="s">
        <v>5</v>
      </c>
      <c r="F17" s="22">
        <v>0.36</v>
      </c>
      <c r="G17" s="25">
        <f t="shared" si="0"/>
        <v>3.9020800000000002</v>
      </c>
    </row>
    <row r="18" spans="2:7" x14ac:dyDescent="0.35">
      <c r="B18" s="5">
        <v>13</v>
      </c>
      <c r="C18" s="9"/>
      <c r="D18" s="9"/>
      <c r="E18" s="5" t="s">
        <v>5</v>
      </c>
      <c r="F18" s="22">
        <v>0.36</v>
      </c>
      <c r="G18" s="25">
        <f t="shared" si="0"/>
        <v>3.9020800000000002</v>
      </c>
    </row>
    <row r="19" spans="2:7" x14ac:dyDescent="0.35">
      <c r="B19" s="5">
        <v>14</v>
      </c>
      <c r="C19" s="9"/>
      <c r="D19" s="9"/>
      <c r="E19" s="5" t="s">
        <v>5</v>
      </c>
      <c r="F19" s="22">
        <v>0.36</v>
      </c>
      <c r="G19" s="25">
        <f t="shared" si="0"/>
        <v>3.9020800000000002</v>
      </c>
    </row>
    <row r="20" spans="2:7" x14ac:dyDescent="0.35">
      <c r="B20" s="5">
        <v>15</v>
      </c>
      <c r="C20" s="9"/>
      <c r="D20" s="9"/>
      <c r="E20" s="5" t="s">
        <v>5</v>
      </c>
      <c r="F20" s="22">
        <v>0.36</v>
      </c>
      <c r="G20" s="25">
        <f t="shared" si="0"/>
        <v>3.9020800000000002</v>
      </c>
    </row>
    <row r="21" spans="2:7" x14ac:dyDescent="0.35">
      <c r="B21" s="5">
        <v>16</v>
      </c>
      <c r="C21" s="9"/>
      <c r="D21" s="9"/>
      <c r="E21" s="5" t="s">
        <v>5</v>
      </c>
      <c r="F21" s="22">
        <v>0.36</v>
      </c>
      <c r="G21" s="25">
        <f t="shared" si="0"/>
        <v>3.9020800000000002</v>
      </c>
    </row>
    <row r="22" spans="2:7" x14ac:dyDescent="0.35">
      <c r="B22" s="29" t="s">
        <v>22</v>
      </c>
      <c r="C22" s="104"/>
      <c r="D22" s="105"/>
      <c r="E22" s="105"/>
      <c r="F22" s="106"/>
      <c r="G22" s="30">
        <f>SUM(G13:G21)</f>
        <v>35.118720000000003</v>
      </c>
    </row>
  </sheetData>
  <mergeCells count="8">
    <mergeCell ref="M9:P9"/>
    <mergeCell ref="C22:F22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C474-7E7E-4BF1-9345-CA8AE4E8E0AF}">
  <dimension ref="B3:Q28"/>
  <sheetViews>
    <sheetView topLeftCell="A16" zoomScale="89" workbookViewId="0">
      <selection activeCell="G7" sqref="G7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9.36328125" style="1" bestFit="1" customWidth="1"/>
    <col min="14" max="14" width="10.81640625" style="1" bestFit="1" customWidth="1"/>
    <col min="15" max="15" width="15.90625" style="1" bestFit="1" customWidth="1"/>
    <col min="16" max="16" width="10.26953125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25</v>
      </c>
      <c r="N5" s="8" t="s">
        <v>26</v>
      </c>
      <c r="O5" s="8" t="s">
        <v>30</v>
      </c>
      <c r="P5" s="10" t="s">
        <v>27</v>
      </c>
      <c r="Q5" s="10" t="s">
        <v>31</v>
      </c>
    </row>
    <row r="6" spans="2:17" x14ac:dyDescent="0.35">
      <c r="B6" s="5">
        <v>1</v>
      </c>
      <c r="C6" s="9">
        <v>0.29166666666666669</v>
      </c>
      <c r="D6" s="9">
        <v>0.33124999999999999</v>
      </c>
      <c r="E6" s="5" t="s">
        <v>5</v>
      </c>
      <c r="F6" s="22">
        <v>0.37</v>
      </c>
      <c r="G6" s="25">
        <f>I$6*(1-F6)</f>
        <v>3.8411100000000005</v>
      </c>
      <c r="I6" s="36">
        <f>67*91/1000</f>
        <v>6.0970000000000004</v>
      </c>
      <c r="L6" s="5">
        <v>1</v>
      </c>
      <c r="M6" s="5">
        <v>0.125</v>
      </c>
      <c r="N6" s="5">
        <v>1.23</v>
      </c>
      <c r="O6" s="5">
        <v>0.86499999999999999</v>
      </c>
      <c r="P6" s="28">
        <f>O6-M6</f>
        <v>0.74</v>
      </c>
      <c r="Q6" s="23">
        <f>(N6-P6)/N6</f>
        <v>0.3983739837398374</v>
      </c>
    </row>
    <row r="7" spans="2:17" x14ac:dyDescent="0.35">
      <c r="B7" s="5">
        <v>2</v>
      </c>
      <c r="C7" s="9">
        <v>0.34027777777777779</v>
      </c>
      <c r="D7" s="9">
        <v>0.37847222222222221</v>
      </c>
      <c r="E7" s="5" t="s">
        <v>5</v>
      </c>
      <c r="F7" s="22">
        <v>0.37</v>
      </c>
      <c r="G7" s="25">
        <f t="shared" ref="G7:G27" si="0">I$6*(1-F7)</f>
        <v>3.8411100000000005</v>
      </c>
      <c r="L7" s="5">
        <v>2</v>
      </c>
      <c r="M7" s="5">
        <v>0.13</v>
      </c>
      <c r="N7" s="5">
        <v>1.3</v>
      </c>
      <c r="O7" s="24">
        <v>0.91500000000000004</v>
      </c>
      <c r="P7" s="28">
        <f t="shared" ref="P7:P8" si="1">O7-M7</f>
        <v>0.78500000000000003</v>
      </c>
      <c r="Q7" s="23">
        <f t="shared" ref="Q7:Q8" si="2">(N7-P7)/N7</f>
        <v>0.39615384615384613</v>
      </c>
    </row>
    <row r="8" spans="2:17" x14ac:dyDescent="0.35">
      <c r="B8" s="5">
        <v>3</v>
      </c>
      <c r="C8" s="9">
        <v>0.38541666666666669</v>
      </c>
      <c r="D8" s="9">
        <v>0.43055555555555558</v>
      </c>
      <c r="E8" s="5" t="s">
        <v>5</v>
      </c>
      <c r="F8" s="22">
        <v>0.37</v>
      </c>
      <c r="G8" s="25">
        <f t="shared" si="0"/>
        <v>3.8411100000000005</v>
      </c>
      <c r="L8" s="5">
        <v>3</v>
      </c>
      <c r="M8" s="5">
        <v>0.125</v>
      </c>
      <c r="N8" s="5">
        <v>1.345</v>
      </c>
      <c r="O8" s="5">
        <v>1.04</v>
      </c>
      <c r="P8" s="28">
        <f t="shared" si="1"/>
        <v>0.91500000000000004</v>
      </c>
      <c r="Q8" s="23">
        <f t="shared" si="2"/>
        <v>0.31970260223048325</v>
      </c>
    </row>
    <row r="9" spans="2:17" x14ac:dyDescent="0.35">
      <c r="B9" s="5">
        <v>4</v>
      </c>
      <c r="C9" s="9">
        <v>0.44305555555555554</v>
      </c>
      <c r="D9" s="9">
        <v>0.47569444444444442</v>
      </c>
      <c r="E9" s="5" t="s">
        <v>5</v>
      </c>
      <c r="F9" s="22">
        <v>0.37</v>
      </c>
      <c r="G9" s="25">
        <f t="shared" si="0"/>
        <v>3.8411100000000005</v>
      </c>
      <c r="L9" s="27" t="s">
        <v>32</v>
      </c>
      <c r="M9" s="93"/>
      <c r="N9" s="103"/>
      <c r="O9" s="103"/>
      <c r="P9" s="94"/>
      <c r="Q9" s="26">
        <f>AVERAGE(Q6:Q8)</f>
        <v>0.37141014404138889</v>
      </c>
    </row>
    <row r="10" spans="2:17" x14ac:dyDescent="0.35">
      <c r="B10" s="5">
        <v>5</v>
      </c>
      <c r="C10" s="9">
        <v>0.49305555555555558</v>
      </c>
      <c r="D10" s="9">
        <v>0.53333333333333333</v>
      </c>
      <c r="E10" s="5" t="s">
        <v>5</v>
      </c>
      <c r="F10" s="22">
        <v>0.37</v>
      </c>
      <c r="G10" s="25">
        <f t="shared" si="0"/>
        <v>3.8411100000000005</v>
      </c>
    </row>
    <row r="11" spans="2:17" x14ac:dyDescent="0.35">
      <c r="B11" s="5">
        <v>6</v>
      </c>
      <c r="C11" s="9">
        <v>0.54513888888888884</v>
      </c>
      <c r="D11" s="9">
        <v>0.57638888888888884</v>
      </c>
      <c r="E11" s="5" t="s">
        <v>5</v>
      </c>
      <c r="F11" s="22">
        <v>0.37</v>
      </c>
      <c r="G11" s="25">
        <f t="shared" si="0"/>
        <v>3.8411100000000005</v>
      </c>
    </row>
    <row r="12" spans="2:17" x14ac:dyDescent="0.35">
      <c r="B12" s="5">
        <v>7</v>
      </c>
      <c r="C12" s="9">
        <v>0.58333333333333337</v>
      </c>
      <c r="D12" s="9">
        <v>0.61875000000000002</v>
      </c>
      <c r="E12" s="5" t="s">
        <v>5</v>
      </c>
      <c r="F12" s="22">
        <v>0.37</v>
      </c>
      <c r="G12" s="25">
        <f t="shared" si="0"/>
        <v>3.8411100000000005</v>
      </c>
    </row>
    <row r="13" spans="2:17" x14ac:dyDescent="0.35">
      <c r="B13" s="5">
        <v>8</v>
      </c>
      <c r="C13" s="9">
        <v>0.6333333333333333</v>
      </c>
      <c r="D13" s="9">
        <v>0.69444444444444442</v>
      </c>
      <c r="E13" s="5" t="s">
        <v>5</v>
      </c>
      <c r="F13" s="22">
        <v>0.37</v>
      </c>
      <c r="G13" s="25">
        <f t="shared" si="0"/>
        <v>3.8411100000000005</v>
      </c>
      <c r="L13" s="1">
        <f>51-14</f>
        <v>37</v>
      </c>
    </row>
    <row r="14" spans="2:17" x14ac:dyDescent="0.35">
      <c r="B14" s="5">
        <v>9</v>
      </c>
      <c r="C14" s="9">
        <v>0.79166666666666663</v>
      </c>
      <c r="D14" s="9">
        <v>0.82777777777777772</v>
      </c>
      <c r="E14" s="5" t="s">
        <v>5</v>
      </c>
      <c r="F14" s="22">
        <v>0.37</v>
      </c>
      <c r="G14" s="25">
        <f t="shared" si="0"/>
        <v>3.8411100000000005</v>
      </c>
    </row>
    <row r="15" spans="2:17" x14ac:dyDescent="0.35">
      <c r="B15" s="5">
        <v>10</v>
      </c>
      <c r="C15" s="9">
        <v>0.82986111111111116</v>
      </c>
      <c r="D15" s="9">
        <v>0.86250000000000004</v>
      </c>
      <c r="E15" s="5" t="s">
        <v>5</v>
      </c>
      <c r="F15" s="22">
        <v>0.37</v>
      </c>
      <c r="G15" s="25">
        <f t="shared" si="0"/>
        <v>3.8411100000000005</v>
      </c>
    </row>
    <row r="16" spans="2:17" x14ac:dyDescent="0.35">
      <c r="B16" s="5">
        <v>11</v>
      </c>
      <c r="C16" s="9">
        <v>0.86458333333333337</v>
      </c>
      <c r="D16" s="9">
        <v>0.89583333333333337</v>
      </c>
      <c r="E16" s="5" t="s">
        <v>5</v>
      </c>
      <c r="F16" s="22">
        <v>0.37</v>
      </c>
      <c r="G16" s="25">
        <f t="shared" si="0"/>
        <v>3.8411100000000005</v>
      </c>
    </row>
    <row r="17" spans="2:9" x14ac:dyDescent="0.35">
      <c r="B17" s="5">
        <v>12</v>
      </c>
      <c r="C17" s="9">
        <v>0.89930555555555558</v>
      </c>
      <c r="D17" s="9">
        <v>0.93402777777777779</v>
      </c>
      <c r="E17" s="5" t="s">
        <v>5</v>
      </c>
      <c r="F17" s="22">
        <v>0.37</v>
      </c>
      <c r="G17" s="25">
        <f t="shared" si="0"/>
        <v>3.8411100000000005</v>
      </c>
    </row>
    <row r="18" spans="2:9" x14ac:dyDescent="0.35">
      <c r="B18" s="5">
        <v>13</v>
      </c>
      <c r="C18" s="9">
        <v>0.97430555555555554</v>
      </c>
      <c r="D18" s="9">
        <v>6.2500000000000003E-3</v>
      </c>
      <c r="E18" s="5" t="s">
        <v>5</v>
      </c>
      <c r="F18" s="22">
        <v>0.37</v>
      </c>
      <c r="G18" s="25">
        <f t="shared" si="0"/>
        <v>3.8411100000000005</v>
      </c>
    </row>
    <row r="19" spans="2:9" x14ac:dyDescent="0.35">
      <c r="B19" s="5">
        <v>14</v>
      </c>
      <c r="C19" s="9">
        <v>6.9444444444444441E-3</v>
      </c>
      <c r="D19" s="9">
        <v>3.9583333333333331E-2</v>
      </c>
      <c r="E19" s="5" t="s">
        <v>5</v>
      </c>
      <c r="F19" s="22">
        <v>0.37</v>
      </c>
      <c r="G19" s="25">
        <f t="shared" si="0"/>
        <v>3.8411100000000005</v>
      </c>
    </row>
    <row r="20" spans="2:9" x14ac:dyDescent="0.35">
      <c r="B20" s="5">
        <v>15</v>
      </c>
      <c r="C20" s="9">
        <v>4.0972222222222222E-2</v>
      </c>
      <c r="D20" s="9">
        <v>7.7083333333333337E-2</v>
      </c>
      <c r="E20" s="5" t="s">
        <v>5</v>
      </c>
      <c r="F20" s="22">
        <v>0.37</v>
      </c>
      <c r="G20" s="25">
        <f t="shared" si="0"/>
        <v>3.8411100000000005</v>
      </c>
    </row>
    <row r="21" spans="2:9" x14ac:dyDescent="0.35">
      <c r="B21" s="5">
        <v>16</v>
      </c>
      <c r="C21" s="9">
        <v>7.9861111111111105E-2</v>
      </c>
      <c r="D21" s="9">
        <v>0.1076388888888889</v>
      </c>
      <c r="E21" s="5" t="s">
        <v>5</v>
      </c>
      <c r="F21" s="22">
        <v>0.37</v>
      </c>
      <c r="G21" s="25">
        <f t="shared" si="0"/>
        <v>3.8411100000000005</v>
      </c>
    </row>
    <row r="22" spans="2:9" x14ac:dyDescent="0.35">
      <c r="B22" s="5">
        <v>17</v>
      </c>
      <c r="C22" s="9">
        <v>0.10902777777777778</v>
      </c>
      <c r="D22" s="9">
        <v>0.14374999999999999</v>
      </c>
      <c r="E22" s="5" t="s">
        <v>5</v>
      </c>
      <c r="F22" s="22">
        <v>0.37</v>
      </c>
      <c r="G22" s="25">
        <f t="shared" si="0"/>
        <v>3.8411100000000005</v>
      </c>
    </row>
    <row r="23" spans="2:9" x14ac:dyDescent="0.35">
      <c r="B23" s="5">
        <v>18</v>
      </c>
      <c r="C23" s="9">
        <v>0.14583333333333334</v>
      </c>
      <c r="D23" s="9">
        <v>0.18055555555555555</v>
      </c>
      <c r="E23" s="5" t="s">
        <v>5</v>
      </c>
      <c r="F23" s="22">
        <v>0.37</v>
      </c>
      <c r="G23" s="25">
        <f t="shared" si="0"/>
        <v>3.8411100000000005</v>
      </c>
    </row>
    <row r="24" spans="2:9" x14ac:dyDescent="0.35">
      <c r="B24" s="5">
        <v>19</v>
      </c>
      <c r="C24" s="9">
        <v>0.18194444444444444</v>
      </c>
      <c r="D24" s="9">
        <v>0.21319444444444444</v>
      </c>
      <c r="E24" s="5" t="s">
        <v>5</v>
      </c>
      <c r="F24" s="22">
        <v>0.37</v>
      </c>
      <c r="G24" s="25">
        <f t="shared" si="0"/>
        <v>3.8411100000000005</v>
      </c>
    </row>
    <row r="25" spans="2:9" x14ac:dyDescent="0.35">
      <c r="B25" s="5">
        <v>20</v>
      </c>
      <c r="C25" s="9">
        <v>0.21388888888888888</v>
      </c>
      <c r="D25" s="9">
        <v>0.23958333333333334</v>
      </c>
      <c r="E25" s="5" t="s">
        <v>5</v>
      </c>
      <c r="F25" s="22">
        <v>0.37</v>
      </c>
      <c r="G25" s="25">
        <f t="shared" si="0"/>
        <v>3.8411100000000005</v>
      </c>
    </row>
    <row r="26" spans="2:9" x14ac:dyDescent="0.35">
      <c r="B26" s="5">
        <v>21</v>
      </c>
      <c r="C26" s="9">
        <v>0.24097222222222223</v>
      </c>
      <c r="D26" s="9">
        <v>0.27083333333333331</v>
      </c>
      <c r="E26" s="5" t="s">
        <v>5</v>
      </c>
      <c r="F26" s="22">
        <v>0.37</v>
      </c>
      <c r="G26" s="25">
        <f t="shared" si="0"/>
        <v>3.8411100000000005</v>
      </c>
    </row>
    <row r="27" spans="2:9" x14ac:dyDescent="0.35">
      <c r="B27" s="5">
        <v>22</v>
      </c>
      <c r="C27" s="9">
        <v>0.2722222222222222</v>
      </c>
      <c r="D27" s="9">
        <v>0.3125</v>
      </c>
      <c r="E27" s="5" t="s">
        <v>5</v>
      </c>
      <c r="F27" s="22">
        <v>0.37</v>
      </c>
      <c r="G27" s="25">
        <f t="shared" si="0"/>
        <v>3.8411100000000005</v>
      </c>
    </row>
    <row r="28" spans="2:9" x14ac:dyDescent="0.35">
      <c r="B28" s="29" t="s">
        <v>22</v>
      </c>
      <c r="C28" s="104"/>
      <c r="D28" s="105"/>
      <c r="E28" s="105"/>
      <c r="F28" s="106"/>
      <c r="G28" s="30">
        <f>SUM(G6:G27)</f>
        <v>84.50442000000001</v>
      </c>
      <c r="I28" s="37"/>
    </row>
  </sheetData>
  <mergeCells count="8">
    <mergeCell ref="M9:P9"/>
    <mergeCell ref="C28:F28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5807-7752-405A-9958-0D1D238C4523}">
  <dimension ref="B3:Q33"/>
  <sheetViews>
    <sheetView topLeftCell="A11" zoomScale="76" workbookViewId="0">
      <selection activeCell="G36" sqref="G36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9.36328125" style="1" bestFit="1" customWidth="1"/>
    <col min="14" max="14" width="10.81640625" style="1" bestFit="1" customWidth="1"/>
    <col min="15" max="15" width="15.90625" style="1" bestFit="1" customWidth="1"/>
    <col min="16" max="16" width="10.26953125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25</v>
      </c>
      <c r="N5" s="8" t="s">
        <v>26</v>
      </c>
      <c r="O5" s="8" t="s">
        <v>30</v>
      </c>
      <c r="P5" s="10" t="s">
        <v>27</v>
      </c>
      <c r="Q5" s="10" t="s">
        <v>31</v>
      </c>
    </row>
    <row r="6" spans="2:17" x14ac:dyDescent="0.35">
      <c r="B6" s="5">
        <v>1</v>
      </c>
      <c r="C6" s="9">
        <v>0.32222222222222224</v>
      </c>
      <c r="D6" s="9">
        <v>0.35069444444444442</v>
      </c>
      <c r="E6" s="5" t="s">
        <v>5</v>
      </c>
      <c r="F6" s="22">
        <v>0.34</v>
      </c>
      <c r="G6" s="25">
        <f>I$6*(1-F6)</f>
        <v>3.9599999999999995</v>
      </c>
      <c r="I6" s="36">
        <v>6</v>
      </c>
      <c r="L6" s="5">
        <v>1</v>
      </c>
      <c r="M6" s="5">
        <v>0.125</v>
      </c>
      <c r="N6" s="5">
        <v>1.26</v>
      </c>
      <c r="O6" s="5">
        <v>0.96499999999999997</v>
      </c>
      <c r="P6" s="28">
        <f>O6-M6</f>
        <v>0.84</v>
      </c>
      <c r="Q6" s="23">
        <f>(N6-P6)/N6</f>
        <v>0.33333333333333337</v>
      </c>
    </row>
    <row r="7" spans="2:17" x14ac:dyDescent="0.35">
      <c r="B7" s="5">
        <v>2</v>
      </c>
      <c r="C7" s="9">
        <v>0.35625000000000001</v>
      </c>
      <c r="D7" s="9">
        <v>0.38541666666666669</v>
      </c>
      <c r="E7" s="5" t="s">
        <v>5</v>
      </c>
      <c r="F7" s="22">
        <v>0.34</v>
      </c>
      <c r="G7" s="25">
        <f t="shared" ref="G7:G32" si="0">I$6*(1-F7)</f>
        <v>3.9599999999999995</v>
      </c>
      <c r="L7" s="5">
        <v>2</v>
      </c>
      <c r="M7" s="5">
        <v>0.13500000000000001</v>
      </c>
      <c r="N7" s="5">
        <v>1.415</v>
      </c>
      <c r="O7" s="24">
        <v>1.0649999999999999</v>
      </c>
      <c r="P7" s="28">
        <f>O7-M7</f>
        <v>0.92999999999999994</v>
      </c>
      <c r="Q7" s="23">
        <f t="shared" ref="Q7:Q8" si="1">(N7-P7)/N7</f>
        <v>0.34275618374558309</v>
      </c>
    </row>
    <row r="8" spans="2:17" x14ac:dyDescent="0.35">
      <c r="B8" s="5">
        <v>3</v>
      </c>
      <c r="C8" s="9">
        <v>0.39305555555555555</v>
      </c>
      <c r="D8" s="9">
        <v>0.41666666666666669</v>
      </c>
      <c r="E8" s="5" t="s">
        <v>5</v>
      </c>
      <c r="F8" s="22">
        <v>0.34</v>
      </c>
      <c r="G8" s="25">
        <f t="shared" si="0"/>
        <v>3.9599999999999995</v>
      </c>
      <c r="L8" s="5">
        <v>3</v>
      </c>
      <c r="M8" s="5">
        <v>0.125</v>
      </c>
      <c r="N8" s="5">
        <v>1.5</v>
      </c>
      <c r="O8" s="5">
        <v>1.1299999999999999</v>
      </c>
      <c r="P8" s="28">
        <f t="shared" ref="P8" si="2">O8-M8</f>
        <v>1.0049999999999999</v>
      </c>
      <c r="Q8" s="23">
        <f t="shared" si="1"/>
        <v>0.33000000000000007</v>
      </c>
    </row>
    <row r="9" spans="2:17" x14ac:dyDescent="0.35">
      <c r="B9" s="5">
        <v>4</v>
      </c>
      <c r="C9" s="9">
        <v>0.4236111111111111</v>
      </c>
      <c r="D9" s="9">
        <v>0.45277777777777778</v>
      </c>
      <c r="E9" s="5" t="s">
        <v>5</v>
      </c>
      <c r="F9" s="22">
        <v>0.34</v>
      </c>
      <c r="G9" s="25">
        <f t="shared" si="0"/>
        <v>3.9599999999999995</v>
      </c>
      <c r="L9" s="27" t="s">
        <v>32</v>
      </c>
      <c r="M9" s="93"/>
      <c r="N9" s="103"/>
      <c r="O9" s="103"/>
      <c r="P9" s="94"/>
      <c r="Q9" s="26">
        <f>AVERAGE(Q6:Q8)</f>
        <v>0.33536317235963886</v>
      </c>
    </row>
    <row r="10" spans="2:17" x14ac:dyDescent="0.35">
      <c r="B10" s="5">
        <v>5</v>
      </c>
      <c r="C10" s="9">
        <v>0.46041666666666664</v>
      </c>
      <c r="D10" s="9">
        <v>0.4861111111111111</v>
      </c>
      <c r="E10" s="5" t="s">
        <v>5</v>
      </c>
      <c r="F10" s="22">
        <v>0.34</v>
      </c>
      <c r="G10" s="25">
        <f t="shared" si="0"/>
        <v>3.9599999999999995</v>
      </c>
    </row>
    <row r="11" spans="2:17" x14ac:dyDescent="0.35">
      <c r="B11" s="5">
        <v>6</v>
      </c>
      <c r="C11" s="9">
        <v>0.5</v>
      </c>
      <c r="D11" s="9">
        <v>0.53749999999999998</v>
      </c>
      <c r="E11" s="5" t="s">
        <v>5</v>
      </c>
      <c r="F11" s="22">
        <v>0.34</v>
      </c>
      <c r="G11" s="25">
        <f t="shared" si="0"/>
        <v>3.9599999999999995</v>
      </c>
    </row>
    <row r="12" spans="2:17" x14ac:dyDescent="0.35">
      <c r="B12" s="5">
        <v>7</v>
      </c>
      <c r="C12" s="9">
        <v>0.54166666666666663</v>
      </c>
      <c r="D12" s="9">
        <v>0.56597222222222221</v>
      </c>
      <c r="E12" s="5" t="s">
        <v>5</v>
      </c>
      <c r="F12" s="22">
        <v>0.34</v>
      </c>
      <c r="G12" s="25">
        <f t="shared" si="0"/>
        <v>3.9599999999999995</v>
      </c>
    </row>
    <row r="13" spans="2:17" x14ac:dyDescent="0.35">
      <c r="B13" s="5">
        <v>8</v>
      </c>
      <c r="C13" s="9">
        <v>0.57291666666666663</v>
      </c>
      <c r="D13" s="9">
        <v>0.60069444444444442</v>
      </c>
      <c r="E13" s="5" t="s">
        <v>5</v>
      </c>
      <c r="F13" s="22">
        <v>0.34</v>
      </c>
      <c r="G13" s="25">
        <f t="shared" si="0"/>
        <v>3.9599999999999995</v>
      </c>
      <c r="L13" s="1">
        <f>51-14</f>
        <v>37</v>
      </c>
    </row>
    <row r="14" spans="2:17" x14ac:dyDescent="0.35">
      <c r="B14" s="5">
        <v>9</v>
      </c>
      <c r="C14" s="9">
        <v>0.60763888888888884</v>
      </c>
      <c r="D14" s="9">
        <v>0.63194444444444442</v>
      </c>
      <c r="E14" s="5" t="s">
        <v>5</v>
      </c>
      <c r="F14" s="22">
        <v>0.34</v>
      </c>
      <c r="G14" s="25">
        <f t="shared" si="0"/>
        <v>3.9599999999999995</v>
      </c>
    </row>
    <row r="15" spans="2:17" x14ac:dyDescent="0.35">
      <c r="B15" s="5">
        <v>10</v>
      </c>
      <c r="C15" s="9">
        <v>0.63888888888888884</v>
      </c>
      <c r="D15" s="9">
        <v>0.65972222222222221</v>
      </c>
      <c r="E15" s="5" t="s">
        <v>5</v>
      </c>
      <c r="F15" s="22">
        <v>0.34</v>
      </c>
      <c r="G15" s="25">
        <f t="shared" si="0"/>
        <v>3.9599999999999995</v>
      </c>
    </row>
    <row r="16" spans="2:17" x14ac:dyDescent="0.35">
      <c r="B16" s="5">
        <v>11</v>
      </c>
      <c r="C16" s="9">
        <v>0.67013888888888884</v>
      </c>
      <c r="D16" s="9">
        <v>0.69444444444444442</v>
      </c>
      <c r="E16" s="5" t="s">
        <v>5</v>
      </c>
      <c r="F16" s="22">
        <v>0.34</v>
      </c>
      <c r="G16" s="25">
        <f t="shared" si="0"/>
        <v>3.9599999999999995</v>
      </c>
    </row>
    <row r="17" spans="2:10" x14ac:dyDescent="0.35">
      <c r="B17" s="5">
        <v>12</v>
      </c>
      <c r="C17" s="9">
        <v>0.70138888888888884</v>
      </c>
      <c r="D17" s="9">
        <v>0.72569444444444442</v>
      </c>
      <c r="E17" s="5" t="s">
        <v>5</v>
      </c>
      <c r="F17" s="22">
        <v>0.34</v>
      </c>
      <c r="G17" s="25">
        <f t="shared" si="0"/>
        <v>3.9599999999999995</v>
      </c>
    </row>
    <row r="18" spans="2:10" x14ac:dyDescent="0.35">
      <c r="B18" s="5">
        <v>13</v>
      </c>
      <c r="C18" s="9">
        <v>0.73263888888888884</v>
      </c>
      <c r="D18" s="9">
        <v>0.75694444444444442</v>
      </c>
      <c r="E18" s="5" t="s">
        <v>5</v>
      </c>
      <c r="F18" s="22">
        <v>0.34</v>
      </c>
      <c r="G18" s="25">
        <f t="shared" si="0"/>
        <v>3.9599999999999995</v>
      </c>
    </row>
    <row r="19" spans="2:10" x14ac:dyDescent="0.35">
      <c r="B19" s="5">
        <v>14</v>
      </c>
      <c r="C19" s="9">
        <v>0.75208333333333333</v>
      </c>
      <c r="D19" s="9">
        <v>0.81458333333333333</v>
      </c>
      <c r="E19" s="5" t="s">
        <v>5</v>
      </c>
      <c r="F19" s="22">
        <v>0.34</v>
      </c>
      <c r="G19" s="25">
        <f t="shared" si="0"/>
        <v>3.9599999999999995</v>
      </c>
      <c r="J19" s="1">
        <f>204*0.3</f>
        <v>61.199999999999996</v>
      </c>
    </row>
    <row r="20" spans="2:10" x14ac:dyDescent="0.35">
      <c r="B20" s="5">
        <v>15</v>
      </c>
      <c r="C20" s="9">
        <v>0.81597222222222221</v>
      </c>
      <c r="D20" s="9">
        <v>0.88888888888888884</v>
      </c>
      <c r="E20" s="5" t="s">
        <v>5</v>
      </c>
      <c r="F20" s="22">
        <v>0.34</v>
      </c>
      <c r="G20" s="25">
        <f t="shared" si="0"/>
        <v>3.9599999999999995</v>
      </c>
    </row>
    <row r="21" spans="2:10" x14ac:dyDescent="0.35">
      <c r="B21" s="5">
        <v>16</v>
      </c>
      <c r="C21" s="9">
        <v>0.89027777777777772</v>
      </c>
      <c r="D21" s="9">
        <v>0.92291666666666672</v>
      </c>
      <c r="E21" s="5" t="s">
        <v>5</v>
      </c>
      <c r="F21" s="22">
        <v>0.34</v>
      </c>
      <c r="G21" s="25">
        <f t="shared" si="0"/>
        <v>3.9599999999999995</v>
      </c>
    </row>
    <row r="22" spans="2:10" x14ac:dyDescent="0.35">
      <c r="B22" s="5">
        <v>17</v>
      </c>
      <c r="C22" s="9">
        <v>0.92361111111111116</v>
      </c>
      <c r="D22" s="9">
        <v>0.95277777777777772</v>
      </c>
      <c r="E22" s="5" t="s">
        <v>5</v>
      </c>
      <c r="F22" s="22">
        <v>0.34</v>
      </c>
      <c r="G22" s="25">
        <f t="shared" si="0"/>
        <v>3.9599999999999995</v>
      </c>
    </row>
    <row r="23" spans="2:10" x14ac:dyDescent="0.35">
      <c r="B23" s="5">
        <v>18</v>
      </c>
      <c r="C23" s="9">
        <v>0.95833333333333337</v>
      </c>
      <c r="D23" s="9">
        <v>0.98750000000000004</v>
      </c>
      <c r="E23" s="5" t="s">
        <v>5</v>
      </c>
      <c r="F23" s="22">
        <v>0.34</v>
      </c>
      <c r="G23" s="25">
        <f t="shared" si="0"/>
        <v>3.9599999999999995</v>
      </c>
    </row>
    <row r="24" spans="2:10" x14ac:dyDescent="0.35">
      <c r="B24" s="5">
        <v>19</v>
      </c>
      <c r="C24" s="9">
        <v>0.98958333333333337</v>
      </c>
      <c r="D24" s="9">
        <v>1.7361111111111112E-2</v>
      </c>
      <c r="E24" s="5" t="s">
        <v>5</v>
      </c>
      <c r="F24" s="22">
        <v>0.34</v>
      </c>
      <c r="G24" s="25">
        <f t="shared" si="0"/>
        <v>3.9599999999999995</v>
      </c>
    </row>
    <row r="25" spans="2:10" x14ac:dyDescent="0.35">
      <c r="B25" s="5">
        <v>20</v>
      </c>
      <c r="C25" s="9">
        <v>2.2916666666666665E-2</v>
      </c>
      <c r="D25" s="9">
        <v>4.791666666666667E-2</v>
      </c>
      <c r="E25" s="5" t="s">
        <v>5</v>
      </c>
      <c r="F25" s="22">
        <v>0.34</v>
      </c>
      <c r="G25" s="25">
        <f t="shared" si="0"/>
        <v>3.9599999999999995</v>
      </c>
    </row>
    <row r="26" spans="2:10" x14ac:dyDescent="0.35">
      <c r="B26" s="5">
        <v>21</v>
      </c>
      <c r="C26" s="9">
        <v>7.2916666666666671E-2</v>
      </c>
      <c r="D26" s="9">
        <v>0.10277777777777777</v>
      </c>
      <c r="E26" s="5" t="s">
        <v>5</v>
      </c>
      <c r="F26" s="22">
        <v>0.34</v>
      </c>
      <c r="G26" s="25">
        <f t="shared" si="0"/>
        <v>3.9599999999999995</v>
      </c>
    </row>
    <row r="27" spans="2:10" x14ac:dyDescent="0.35">
      <c r="B27" s="5">
        <v>22</v>
      </c>
      <c r="C27" s="9">
        <v>0.1076388888888889</v>
      </c>
      <c r="D27" s="9">
        <v>0.13680555555555557</v>
      </c>
      <c r="E27" s="5" t="s">
        <v>5</v>
      </c>
      <c r="F27" s="22">
        <v>0.34</v>
      </c>
      <c r="G27" s="25">
        <f t="shared" si="0"/>
        <v>3.9599999999999995</v>
      </c>
    </row>
    <row r="28" spans="2:10" x14ac:dyDescent="0.35">
      <c r="B28" s="5">
        <v>23</v>
      </c>
      <c r="C28" s="9">
        <v>0.1388888888888889</v>
      </c>
      <c r="D28" s="9">
        <v>0.17152777777777778</v>
      </c>
      <c r="E28" s="5" t="s">
        <v>5</v>
      </c>
      <c r="F28" s="22">
        <v>0.34</v>
      </c>
      <c r="G28" s="25">
        <f t="shared" si="0"/>
        <v>3.9599999999999995</v>
      </c>
    </row>
    <row r="29" spans="2:10" x14ac:dyDescent="0.35">
      <c r="B29" s="5">
        <v>24</v>
      </c>
      <c r="C29" s="9">
        <v>0.1736111111111111</v>
      </c>
      <c r="D29" s="9">
        <v>0.2048611111111111</v>
      </c>
      <c r="E29" s="5" t="s">
        <v>5</v>
      </c>
      <c r="F29" s="22">
        <v>0.34</v>
      </c>
      <c r="G29" s="25">
        <f t="shared" si="0"/>
        <v>3.9599999999999995</v>
      </c>
    </row>
    <row r="30" spans="2:10" x14ac:dyDescent="0.35">
      <c r="B30" s="5">
        <v>25</v>
      </c>
      <c r="C30" s="9">
        <v>0.2048611111111111</v>
      </c>
      <c r="D30" s="9">
        <v>0.2326388888888889</v>
      </c>
      <c r="E30" s="5" t="s">
        <v>5</v>
      </c>
      <c r="F30" s="22">
        <v>0.34</v>
      </c>
      <c r="G30" s="25">
        <f t="shared" si="0"/>
        <v>3.9599999999999995</v>
      </c>
    </row>
    <row r="31" spans="2:10" x14ac:dyDescent="0.35">
      <c r="B31" s="5">
        <v>26</v>
      </c>
      <c r="C31" s="9">
        <v>0.23402777777777778</v>
      </c>
      <c r="D31" s="9">
        <v>0.26874999999999999</v>
      </c>
      <c r="E31" s="5" t="s">
        <v>5</v>
      </c>
      <c r="F31" s="22">
        <v>0.34</v>
      </c>
      <c r="G31" s="25">
        <f t="shared" si="0"/>
        <v>3.9599999999999995</v>
      </c>
    </row>
    <row r="32" spans="2:10" x14ac:dyDescent="0.35">
      <c r="B32" s="5">
        <v>27</v>
      </c>
      <c r="C32" s="9">
        <v>0.27013888888888887</v>
      </c>
      <c r="D32" s="9">
        <v>0.3</v>
      </c>
      <c r="E32" s="5" t="s">
        <v>5</v>
      </c>
      <c r="F32" s="22">
        <v>0.34</v>
      </c>
      <c r="G32" s="25">
        <f t="shared" si="0"/>
        <v>3.9599999999999995</v>
      </c>
    </row>
    <row r="33" spans="2:10" x14ac:dyDescent="0.35">
      <c r="B33" s="29" t="s">
        <v>22</v>
      </c>
      <c r="C33" s="104"/>
      <c r="D33" s="105"/>
      <c r="E33" s="105"/>
      <c r="F33" s="106"/>
      <c r="G33" s="38">
        <f>SUM(G6:G32)</f>
        <v>106.91999999999994</v>
      </c>
      <c r="I33" s="37"/>
      <c r="J33" s="1">
        <f>204-107</f>
        <v>97</v>
      </c>
    </row>
  </sheetData>
  <mergeCells count="8">
    <mergeCell ref="M9:P9"/>
    <mergeCell ref="C33:F33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3C8D-CE1A-4535-8BE5-E702BA0B8042}">
  <dimension ref="B3:K9"/>
  <sheetViews>
    <sheetView workbookViewId="0">
      <selection activeCell="F13" sqref="F13"/>
    </sheetView>
  </sheetViews>
  <sheetFormatPr defaultRowHeight="14.5" x14ac:dyDescent="0.35"/>
  <cols>
    <col min="1" max="1" width="8.7265625" style="1"/>
    <col min="2" max="2" width="10.453125" style="1" bestFit="1" customWidth="1"/>
    <col min="3" max="3" width="13" style="1" customWidth="1"/>
    <col min="4" max="4" width="18.54296875" style="1" bestFit="1" customWidth="1"/>
    <col min="5" max="5" width="12.7265625" style="1" customWidth="1"/>
    <col min="6" max="6" width="18.1796875" style="1" bestFit="1" customWidth="1"/>
    <col min="7" max="7" width="16" style="1" customWidth="1"/>
    <col min="8" max="10" width="8.7265625" style="1"/>
    <col min="11" max="11" width="11.90625" style="1" bestFit="1" customWidth="1"/>
    <col min="12" max="16384" width="8.7265625" style="1"/>
  </cols>
  <sheetData>
    <row r="3" spans="2:11" x14ac:dyDescent="0.35">
      <c r="B3" s="29" t="s">
        <v>34</v>
      </c>
      <c r="C3" s="29" t="s">
        <v>47</v>
      </c>
      <c r="D3" s="29" t="s">
        <v>50</v>
      </c>
      <c r="E3" s="29" t="s">
        <v>48</v>
      </c>
      <c r="F3" s="29" t="s">
        <v>51</v>
      </c>
      <c r="G3" s="29" t="s">
        <v>49</v>
      </c>
      <c r="K3" s="29" t="s">
        <v>21</v>
      </c>
    </row>
    <row r="4" spans="2:11" x14ac:dyDescent="0.35">
      <c r="B4" s="31">
        <v>45665</v>
      </c>
      <c r="C4" s="5">
        <v>22</v>
      </c>
      <c r="D4" s="5">
        <f>K$4*C4</f>
        <v>132</v>
      </c>
      <c r="E4" s="23">
        <v>0.37</v>
      </c>
      <c r="F4" s="40">
        <f>D4*(1-E4)</f>
        <v>83.16</v>
      </c>
      <c r="G4" s="40">
        <f>F4</f>
        <v>83.16</v>
      </c>
      <c r="K4" s="5">
        <v>6</v>
      </c>
    </row>
    <row r="5" spans="2:11" x14ac:dyDescent="0.35">
      <c r="B5" s="31">
        <v>45666</v>
      </c>
      <c r="C5" s="5">
        <v>27</v>
      </c>
      <c r="D5" s="5">
        <f t="shared" ref="D5:D9" si="0">K$4*C5</f>
        <v>162</v>
      </c>
      <c r="E5" s="22">
        <v>0.34</v>
      </c>
      <c r="F5" s="40">
        <f t="shared" ref="F5:F7" si="1">D5*(1-E5)</f>
        <v>106.91999999999999</v>
      </c>
      <c r="G5" s="40">
        <f t="shared" ref="G5:G7" si="2">F5</f>
        <v>106.91999999999999</v>
      </c>
    </row>
    <row r="6" spans="2:11" x14ac:dyDescent="0.35">
      <c r="B6" s="31">
        <v>45667</v>
      </c>
      <c r="C6" s="5">
        <v>14</v>
      </c>
      <c r="D6" s="5">
        <f t="shared" si="0"/>
        <v>84</v>
      </c>
      <c r="E6" s="22">
        <v>0.33</v>
      </c>
      <c r="F6" s="40">
        <f t="shared" si="1"/>
        <v>56.279999999999994</v>
      </c>
      <c r="G6" s="40">
        <f t="shared" si="2"/>
        <v>56.279999999999994</v>
      </c>
    </row>
    <row r="7" spans="2:11" x14ac:dyDescent="0.35">
      <c r="B7" s="31">
        <v>45668</v>
      </c>
      <c r="C7" s="5">
        <v>24</v>
      </c>
      <c r="D7" s="5">
        <f t="shared" si="0"/>
        <v>144</v>
      </c>
      <c r="E7" s="22">
        <v>0.34</v>
      </c>
      <c r="F7" s="40">
        <f t="shared" si="1"/>
        <v>95.039999999999992</v>
      </c>
      <c r="G7" s="40">
        <f t="shared" si="2"/>
        <v>95.039999999999992</v>
      </c>
    </row>
    <row r="8" spans="2:11" x14ac:dyDescent="0.35">
      <c r="B8" s="31">
        <v>45669</v>
      </c>
      <c r="C8" s="5">
        <v>10</v>
      </c>
      <c r="D8" s="5">
        <f t="shared" si="0"/>
        <v>60</v>
      </c>
      <c r="E8" s="5"/>
      <c r="F8" s="5"/>
      <c r="G8" s="5"/>
    </row>
    <row r="9" spans="2:11" x14ac:dyDescent="0.35">
      <c r="B9" s="42" t="s">
        <v>22</v>
      </c>
      <c r="C9" s="8">
        <f>SUM(C4:C8)</f>
        <v>97</v>
      </c>
      <c r="D9" s="8">
        <f t="shared" si="0"/>
        <v>582</v>
      </c>
      <c r="E9" s="8"/>
      <c r="F9" s="41">
        <f>AVERAGE(F4:F7)</f>
        <v>85.35</v>
      </c>
      <c r="G9" s="41">
        <f>SUM(G4:G8)</f>
        <v>341.4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6F0E-E3CA-42DC-85A5-F1957E3C80DB}">
  <dimension ref="B3:Q33"/>
  <sheetViews>
    <sheetView workbookViewId="0">
      <selection activeCell="I14" sqref="I14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9.36328125" style="1" bestFit="1" customWidth="1"/>
    <col min="14" max="14" width="10.81640625" style="1" bestFit="1" customWidth="1"/>
    <col min="15" max="15" width="15.90625" style="1" bestFit="1" customWidth="1"/>
    <col min="16" max="16" width="10.26953125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25</v>
      </c>
      <c r="N5" s="8" t="s">
        <v>26</v>
      </c>
      <c r="O5" s="8" t="s">
        <v>30</v>
      </c>
      <c r="P5" s="10" t="s">
        <v>27</v>
      </c>
      <c r="Q5" s="10" t="s">
        <v>31</v>
      </c>
    </row>
    <row r="6" spans="2:17" x14ac:dyDescent="0.35">
      <c r="B6" s="5">
        <v>1</v>
      </c>
      <c r="C6" s="9">
        <v>0.30069444444444443</v>
      </c>
      <c r="D6" s="9">
        <v>0.32708333333333334</v>
      </c>
      <c r="E6" s="5" t="s">
        <v>5</v>
      </c>
      <c r="F6" s="22">
        <v>0.33</v>
      </c>
      <c r="G6" s="25">
        <f>I$6*(1-F6)</f>
        <v>4.0199999999999996</v>
      </c>
      <c r="I6" s="36">
        <v>6</v>
      </c>
      <c r="L6" s="5">
        <v>1</v>
      </c>
      <c r="M6" s="5">
        <v>0.125</v>
      </c>
      <c r="N6" s="5">
        <v>1.34</v>
      </c>
      <c r="O6" s="5">
        <v>1.02</v>
      </c>
      <c r="P6" s="28">
        <f>O6-M6</f>
        <v>0.89500000000000002</v>
      </c>
      <c r="Q6" s="23">
        <f>(N6-P6)/N6</f>
        <v>0.33208955223880599</v>
      </c>
    </row>
    <row r="7" spans="2:17" x14ac:dyDescent="0.35">
      <c r="B7" s="5">
        <v>2</v>
      </c>
      <c r="C7" s="9">
        <v>0.32847222222222222</v>
      </c>
      <c r="D7" s="9">
        <v>0.35555555555555557</v>
      </c>
      <c r="E7" s="5" t="s">
        <v>5</v>
      </c>
      <c r="F7" s="22">
        <v>0.33</v>
      </c>
      <c r="G7" s="25">
        <f t="shared" ref="G7:G19" si="0">I$6*(1-F7)</f>
        <v>4.0199999999999996</v>
      </c>
      <c r="L7" s="5">
        <v>2</v>
      </c>
      <c r="M7" s="5">
        <v>0.13500000000000001</v>
      </c>
      <c r="N7" s="5">
        <v>1.345</v>
      </c>
      <c r="O7" s="24">
        <v>1.02</v>
      </c>
      <c r="P7" s="28">
        <f>O7-M7</f>
        <v>0.88500000000000001</v>
      </c>
      <c r="Q7" s="23">
        <f t="shared" ref="Q7:Q8" si="1">(N7-P7)/N7</f>
        <v>0.34200743494423791</v>
      </c>
    </row>
    <row r="8" spans="2:17" x14ac:dyDescent="0.35">
      <c r="B8" s="5">
        <v>3</v>
      </c>
      <c r="C8" s="9">
        <v>0.3576388888888889</v>
      </c>
      <c r="D8" s="9">
        <v>0.38472222222222224</v>
      </c>
      <c r="E8" s="5" t="s">
        <v>5</v>
      </c>
      <c r="F8" s="22">
        <v>0.33</v>
      </c>
      <c r="G8" s="25">
        <f t="shared" si="0"/>
        <v>4.0199999999999996</v>
      </c>
      <c r="L8" s="5">
        <v>3</v>
      </c>
      <c r="M8" s="5">
        <v>0.13</v>
      </c>
      <c r="N8" s="5">
        <v>1.4650000000000001</v>
      </c>
      <c r="O8" s="5">
        <v>1.1200000000000001</v>
      </c>
      <c r="P8" s="28">
        <f t="shared" ref="P8" si="2">O8-M8</f>
        <v>0.9900000000000001</v>
      </c>
      <c r="Q8" s="23">
        <f t="shared" si="1"/>
        <v>0.32423208191126279</v>
      </c>
    </row>
    <row r="9" spans="2:17" x14ac:dyDescent="0.35">
      <c r="B9" s="5">
        <v>4</v>
      </c>
      <c r="C9" s="9">
        <v>0.38680555555555557</v>
      </c>
      <c r="D9" s="9">
        <v>0.41666666666666669</v>
      </c>
      <c r="E9" s="5" t="s">
        <v>5</v>
      </c>
      <c r="F9" s="22">
        <v>0.33</v>
      </c>
      <c r="G9" s="25">
        <f t="shared" si="0"/>
        <v>4.0199999999999996</v>
      </c>
      <c r="L9" s="27" t="s">
        <v>32</v>
      </c>
      <c r="M9" s="93"/>
      <c r="N9" s="103"/>
      <c r="O9" s="103"/>
      <c r="P9" s="94"/>
      <c r="Q9" s="26">
        <f>AVERAGE(Q6:Q8)</f>
        <v>0.33277635636476893</v>
      </c>
    </row>
    <row r="10" spans="2:17" x14ac:dyDescent="0.35">
      <c r="B10" s="5">
        <v>5</v>
      </c>
      <c r="C10" s="9">
        <v>0.41875000000000001</v>
      </c>
      <c r="D10" s="9">
        <v>0.44722222222222224</v>
      </c>
      <c r="E10" s="5" t="s">
        <v>5</v>
      </c>
      <c r="F10" s="22">
        <v>0.33</v>
      </c>
      <c r="G10" s="25">
        <f t="shared" si="0"/>
        <v>4.0199999999999996</v>
      </c>
    </row>
    <row r="11" spans="2:17" x14ac:dyDescent="0.35">
      <c r="B11" s="5">
        <v>6</v>
      </c>
      <c r="C11" s="9">
        <v>0.44861111111111113</v>
      </c>
      <c r="D11" s="9">
        <v>0.48958333333333331</v>
      </c>
      <c r="E11" s="5" t="s">
        <v>5</v>
      </c>
      <c r="F11" s="22">
        <v>0.33</v>
      </c>
      <c r="G11" s="25">
        <f t="shared" si="0"/>
        <v>4.0199999999999996</v>
      </c>
    </row>
    <row r="12" spans="2:17" x14ac:dyDescent="0.35">
      <c r="B12" s="5">
        <v>7</v>
      </c>
      <c r="C12" s="9">
        <v>0.4909722222222222</v>
      </c>
      <c r="D12" s="9">
        <v>0.52222222222222225</v>
      </c>
      <c r="E12" s="5" t="s">
        <v>5</v>
      </c>
      <c r="F12" s="22">
        <v>0.33</v>
      </c>
      <c r="G12" s="25">
        <f t="shared" si="0"/>
        <v>4.0199999999999996</v>
      </c>
    </row>
    <row r="13" spans="2:17" x14ac:dyDescent="0.35">
      <c r="B13" s="5">
        <v>8</v>
      </c>
      <c r="C13" s="9">
        <v>0.52361111111111114</v>
      </c>
      <c r="D13" s="9">
        <v>0.55902777777777779</v>
      </c>
      <c r="E13" s="5" t="s">
        <v>5</v>
      </c>
      <c r="F13" s="22">
        <v>0.33</v>
      </c>
      <c r="G13" s="25">
        <f t="shared" si="0"/>
        <v>4.0199999999999996</v>
      </c>
    </row>
    <row r="14" spans="2:17" x14ac:dyDescent="0.35">
      <c r="B14" s="5">
        <v>9</v>
      </c>
      <c r="C14" s="9">
        <v>0.56666666666666665</v>
      </c>
      <c r="D14" s="9">
        <v>0.60763888888888884</v>
      </c>
      <c r="E14" s="5" t="s">
        <v>5</v>
      </c>
      <c r="F14" s="22">
        <v>0.33</v>
      </c>
      <c r="G14" s="25">
        <f t="shared" si="0"/>
        <v>4.0199999999999996</v>
      </c>
    </row>
    <row r="15" spans="2:17" x14ac:dyDescent="0.35">
      <c r="B15" s="5">
        <v>10</v>
      </c>
      <c r="C15" s="9">
        <v>0.61458333333333337</v>
      </c>
      <c r="D15" s="9">
        <v>0.63888888888888884</v>
      </c>
      <c r="E15" s="5" t="s">
        <v>5</v>
      </c>
      <c r="F15" s="22">
        <v>0.33</v>
      </c>
      <c r="G15" s="25">
        <f t="shared" si="0"/>
        <v>4.0199999999999996</v>
      </c>
    </row>
    <row r="16" spans="2:17" x14ac:dyDescent="0.35">
      <c r="B16" s="5">
        <v>11</v>
      </c>
      <c r="C16" s="9">
        <v>0.64583333333333337</v>
      </c>
      <c r="D16" s="9">
        <v>0.67222222222222228</v>
      </c>
      <c r="E16" s="5" t="s">
        <v>5</v>
      </c>
      <c r="F16" s="22">
        <v>0.33</v>
      </c>
      <c r="G16" s="25">
        <f t="shared" si="0"/>
        <v>4.0199999999999996</v>
      </c>
    </row>
    <row r="17" spans="2:7" x14ac:dyDescent="0.35">
      <c r="B17" s="5">
        <v>12</v>
      </c>
      <c r="C17" s="9">
        <v>0.67222222222222228</v>
      </c>
      <c r="D17" s="9">
        <v>0.69305555555555554</v>
      </c>
      <c r="E17" s="5" t="s">
        <v>5</v>
      </c>
      <c r="F17" s="22">
        <v>0.33</v>
      </c>
      <c r="G17" s="25">
        <f t="shared" si="0"/>
        <v>4.0199999999999996</v>
      </c>
    </row>
    <row r="18" spans="2:7" x14ac:dyDescent="0.35">
      <c r="B18" s="5">
        <v>13</v>
      </c>
      <c r="C18" s="9">
        <v>0.69930555555555551</v>
      </c>
      <c r="D18" s="9">
        <v>0.72361111111111109</v>
      </c>
      <c r="E18" s="5" t="s">
        <v>5</v>
      </c>
      <c r="F18" s="22">
        <v>0.33</v>
      </c>
      <c r="G18" s="25">
        <f t="shared" si="0"/>
        <v>4.0199999999999996</v>
      </c>
    </row>
    <row r="19" spans="2:7" x14ac:dyDescent="0.35">
      <c r="B19" s="5">
        <v>14</v>
      </c>
      <c r="C19" s="9">
        <v>0.72916666666666663</v>
      </c>
      <c r="D19" s="9">
        <v>0.75</v>
      </c>
      <c r="E19" s="5" t="s">
        <v>5</v>
      </c>
      <c r="F19" s="22">
        <v>0.33</v>
      </c>
      <c r="G19" s="25">
        <f t="shared" si="0"/>
        <v>4.0199999999999996</v>
      </c>
    </row>
    <row r="20" spans="2:7" x14ac:dyDescent="0.35">
      <c r="B20" s="5">
        <v>15</v>
      </c>
      <c r="C20" s="9"/>
      <c r="D20" s="9"/>
      <c r="E20" s="5"/>
      <c r="F20" s="22"/>
      <c r="G20" s="25"/>
    </row>
    <row r="21" spans="2:7" x14ac:dyDescent="0.35">
      <c r="B21" s="5">
        <v>16</v>
      </c>
      <c r="C21" s="9"/>
      <c r="D21" s="9"/>
      <c r="E21" s="5"/>
      <c r="F21" s="22"/>
      <c r="G21" s="25"/>
    </row>
    <row r="22" spans="2:7" x14ac:dyDescent="0.35">
      <c r="B22" s="5">
        <v>17</v>
      </c>
      <c r="C22" s="9"/>
      <c r="D22" s="9"/>
      <c r="E22" s="5"/>
      <c r="F22" s="22"/>
      <c r="G22" s="25"/>
    </row>
    <row r="23" spans="2:7" x14ac:dyDescent="0.35">
      <c r="B23" s="5">
        <v>18</v>
      </c>
      <c r="C23" s="9"/>
      <c r="D23" s="9"/>
      <c r="E23" s="5"/>
      <c r="F23" s="22"/>
      <c r="G23" s="25"/>
    </row>
    <row r="24" spans="2:7" x14ac:dyDescent="0.35">
      <c r="B24" s="5">
        <v>19</v>
      </c>
      <c r="C24" s="9"/>
      <c r="D24" s="9"/>
      <c r="E24" s="5"/>
      <c r="F24" s="22"/>
      <c r="G24" s="25"/>
    </row>
    <row r="25" spans="2:7" x14ac:dyDescent="0.35">
      <c r="B25" s="5">
        <v>20</v>
      </c>
      <c r="C25" s="9"/>
      <c r="D25" s="9"/>
      <c r="E25" s="5"/>
      <c r="F25" s="22"/>
      <c r="G25" s="25"/>
    </row>
    <row r="26" spans="2:7" x14ac:dyDescent="0.35">
      <c r="B26" s="5">
        <v>21</v>
      </c>
      <c r="C26" s="9"/>
      <c r="D26" s="9"/>
      <c r="E26" s="5"/>
      <c r="F26" s="22"/>
      <c r="G26" s="25"/>
    </row>
    <row r="27" spans="2:7" x14ac:dyDescent="0.35">
      <c r="B27" s="5">
        <v>22</v>
      </c>
      <c r="C27" s="9"/>
      <c r="D27" s="9"/>
      <c r="E27" s="5"/>
      <c r="F27" s="22"/>
      <c r="G27" s="25"/>
    </row>
    <row r="28" spans="2:7" x14ac:dyDescent="0.35">
      <c r="B28" s="5">
        <v>23</v>
      </c>
      <c r="C28" s="9"/>
      <c r="D28" s="9"/>
      <c r="E28" s="5"/>
      <c r="F28" s="22"/>
      <c r="G28" s="25"/>
    </row>
    <row r="29" spans="2:7" x14ac:dyDescent="0.35">
      <c r="B29" s="5">
        <v>24</v>
      </c>
      <c r="C29" s="9"/>
      <c r="D29" s="9"/>
      <c r="E29" s="5"/>
      <c r="F29" s="22"/>
      <c r="G29" s="25"/>
    </row>
    <row r="30" spans="2:7" x14ac:dyDescent="0.35">
      <c r="B30" s="5">
        <v>25</v>
      </c>
      <c r="C30" s="9"/>
      <c r="D30" s="9"/>
      <c r="E30" s="5"/>
      <c r="F30" s="22"/>
      <c r="G30" s="25"/>
    </row>
    <row r="31" spans="2:7" x14ac:dyDescent="0.35">
      <c r="B31" s="5">
        <v>26</v>
      </c>
      <c r="C31" s="9"/>
      <c r="D31" s="9"/>
      <c r="E31" s="5"/>
      <c r="F31" s="22"/>
      <c r="G31" s="25"/>
    </row>
    <row r="32" spans="2:7" x14ac:dyDescent="0.35">
      <c r="B32" s="5">
        <v>27</v>
      </c>
      <c r="C32" s="9"/>
      <c r="D32" s="9"/>
      <c r="E32" s="5"/>
      <c r="F32" s="22"/>
      <c r="G32" s="25"/>
    </row>
    <row r="33" spans="2:9" x14ac:dyDescent="0.35">
      <c r="B33" s="29" t="s">
        <v>22</v>
      </c>
      <c r="C33" s="104"/>
      <c r="D33" s="105"/>
      <c r="E33" s="105"/>
      <c r="F33" s="106"/>
      <c r="G33" s="30">
        <f>SUM(G6:G19)</f>
        <v>56.279999999999973</v>
      </c>
      <c r="I33" s="37"/>
    </row>
  </sheetData>
  <mergeCells count="8">
    <mergeCell ref="M9:P9"/>
    <mergeCell ref="C33:F33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486C-F607-4EF5-B0C0-ACC07194C93D}">
  <dimension ref="B3:Q33"/>
  <sheetViews>
    <sheetView topLeftCell="E10" workbookViewId="0">
      <selection activeCell="I9" sqref="I9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9.36328125" style="1" bestFit="1" customWidth="1"/>
    <col min="14" max="14" width="10.81640625" style="1" bestFit="1" customWidth="1"/>
    <col min="15" max="15" width="15.90625" style="1" bestFit="1" customWidth="1"/>
    <col min="16" max="16" width="10.26953125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25</v>
      </c>
      <c r="N5" s="8" t="s">
        <v>26</v>
      </c>
      <c r="O5" s="8" t="s">
        <v>30</v>
      </c>
      <c r="P5" s="10" t="s">
        <v>27</v>
      </c>
      <c r="Q5" s="10" t="s">
        <v>31</v>
      </c>
    </row>
    <row r="6" spans="2:17" x14ac:dyDescent="0.35">
      <c r="B6" s="5">
        <v>1</v>
      </c>
      <c r="C6" s="9">
        <v>0.31527777777777777</v>
      </c>
      <c r="D6" s="9">
        <v>0.3840277777777778</v>
      </c>
      <c r="E6" s="5" t="s">
        <v>5</v>
      </c>
      <c r="F6" s="22">
        <v>0.34</v>
      </c>
      <c r="G6" s="25">
        <f>I$6*(1-F6)</f>
        <v>3.9599999999999995</v>
      </c>
      <c r="I6" s="40">
        <v>6</v>
      </c>
      <c r="L6" s="5">
        <v>1</v>
      </c>
      <c r="M6" s="5">
        <v>0.125</v>
      </c>
      <c r="N6" s="5">
        <v>1.26</v>
      </c>
      <c r="O6" s="5">
        <v>0.96499999999999997</v>
      </c>
      <c r="P6" s="28">
        <f>O6-M6</f>
        <v>0.84</v>
      </c>
      <c r="Q6" s="23">
        <f>(N6-P6)/N6</f>
        <v>0.33333333333333337</v>
      </c>
    </row>
    <row r="7" spans="2:17" x14ac:dyDescent="0.35">
      <c r="B7" s="5">
        <v>2</v>
      </c>
      <c r="C7" s="9">
        <v>0.38541666666666669</v>
      </c>
      <c r="D7" s="9">
        <v>0.42083333333333334</v>
      </c>
      <c r="E7" s="5" t="s">
        <v>5</v>
      </c>
      <c r="F7" s="22">
        <v>0.34</v>
      </c>
      <c r="G7" s="25">
        <f t="shared" ref="G7:G29" si="0">I$6*(1-F7)</f>
        <v>3.9599999999999995</v>
      </c>
      <c r="L7" s="5">
        <v>2</v>
      </c>
      <c r="M7" s="5">
        <v>0.13500000000000001</v>
      </c>
      <c r="N7" s="5">
        <v>1.415</v>
      </c>
      <c r="O7" s="24">
        <v>1.0649999999999999</v>
      </c>
      <c r="P7" s="28">
        <f>O7-M7</f>
        <v>0.92999999999999994</v>
      </c>
      <c r="Q7" s="23">
        <f t="shared" ref="Q7:Q8" si="1">(N7-P7)/N7</f>
        <v>0.34275618374558309</v>
      </c>
    </row>
    <row r="8" spans="2:17" x14ac:dyDescent="0.35">
      <c r="B8" s="5">
        <v>3</v>
      </c>
      <c r="C8" s="9">
        <v>0.42222222222222222</v>
      </c>
      <c r="D8" s="9">
        <v>0.45624999999999999</v>
      </c>
      <c r="E8" s="5" t="s">
        <v>5</v>
      </c>
      <c r="F8" s="22">
        <v>0.34</v>
      </c>
      <c r="G8" s="25">
        <f t="shared" si="0"/>
        <v>3.9599999999999995</v>
      </c>
      <c r="L8" s="5">
        <v>3</v>
      </c>
      <c r="M8" s="5">
        <v>0.125</v>
      </c>
      <c r="N8" s="5">
        <v>1.5</v>
      </c>
      <c r="O8" s="5">
        <v>1.1299999999999999</v>
      </c>
      <c r="P8" s="28">
        <f t="shared" ref="P8" si="2">O8-M8</f>
        <v>1.0049999999999999</v>
      </c>
      <c r="Q8" s="23">
        <f t="shared" si="1"/>
        <v>0.33000000000000007</v>
      </c>
    </row>
    <row r="9" spans="2:17" x14ac:dyDescent="0.35">
      <c r="B9" s="5">
        <v>4</v>
      </c>
      <c r="C9" s="9">
        <v>0.45833333333333331</v>
      </c>
      <c r="D9" s="9">
        <v>0.49722222222222223</v>
      </c>
      <c r="E9" s="5" t="s">
        <v>5</v>
      </c>
      <c r="F9" s="22">
        <v>0.34</v>
      </c>
      <c r="G9" s="25">
        <f t="shared" si="0"/>
        <v>3.9599999999999995</v>
      </c>
      <c r="L9" s="27" t="s">
        <v>32</v>
      </c>
      <c r="M9" s="93"/>
      <c r="N9" s="103"/>
      <c r="O9" s="103"/>
      <c r="P9" s="94"/>
      <c r="Q9" s="26">
        <f>AVERAGE(Q6:Q8)</f>
        <v>0.33536317235963886</v>
      </c>
    </row>
    <row r="10" spans="2:17" x14ac:dyDescent="0.35">
      <c r="B10" s="5">
        <v>5</v>
      </c>
      <c r="C10" s="9">
        <v>0.49861111111111112</v>
      </c>
      <c r="D10" s="9">
        <v>0.52986111111111112</v>
      </c>
      <c r="E10" s="5" t="s">
        <v>5</v>
      </c>
      <c r="F10" s="22">
        <v>0.34</v>
      </c>
      <c r="G10" s="25">
        <f t="shared" si="0"/>
        <v>3.9599999999999995</v>
      </c>
    </row>
    <row r="11" spans="2:17" x14ac:dyDescent="0.35">
      <c r="B11" s="5">
        <v>6</v>
      </c>
      <c r="C11" s="9">
        <v>0.53125</v>
      </c>
      <c r="D11" s="9">
        <v>0.56597222222222221</v>
      </c>
      <c r="E11" s="5" t="s">
        <v>5</v>
      </c>
      <c r="F11" s="22">
        <v>0.34</v>
      </c>
      <c r="G11" s="25">
        <f t="shared" si="0"/>
        <v>3.9599999999999995</v>
      </c>
    </row>
    <row r="12" spans="2:17" x14ac:dyDescent="0.35">
      <c r="B12" s="5">
        <v>7</v>
      </c>
      <c r="C12" s="9">
        <v>0.56805555555555554</v>
      </c>
      <c r="D12" s="9">
        <v>0.59583333333333333</v>
      </c>
      <c r="E12" s="5" t="s">
        <v>5</v>
      </c>
      <c r="F12" s="22">
        <v>0.34</v>
      </c>
      <c r="G12" s="25">
        <f t="shared" si="0"/>
        <v>3.9599999999999995</v>
      </c>
    </row>
    <row r="13" spans="2:17" x14ac:dyDescent="0.35">
      <c r="B13" s="5">
        <v>8</v>
      </c>
      <c r="C13" s="9">
        <v>0.59722222222222221</v>
      </c>
      <c r="D13" s="9">
        <v>0.62152777777777779</v>
      </c>
      <c r="E13" s="5" t="s">
        <v>5</v>
      </c>
      <c r="F13" s="22">
        <v>0.34</v>
      </c>
      <c r="G13" s="25">
        <f t="shared" si="0"/>
        <v>3.9599999999999995</v>
      </c>
      <c r="L13" s="1">
        <f>51-14</f>
        <v>37</v>
      </c>
    </row>
    <row r="14" spans="2:17" x14ac:dyDescent="0.35">
      <c r="B14" s="5">
        <v>9</v>
      </c>
      <c r="C14" s="9">
        <v>0.62222222222222223</v>
      </c>
      <c r="D14" s="9">
        <v>0.65277777777777779</v>
      </c>
      <c r="E14" s="5" t="s">
        <v>5</v>
      </c>
      <c r="F14" s="22">
        <v>0.34</v>
      </c>
      <c r="G14" s="25">
        <f t="shared" si="0"/>
        <v>3.9599999999999995</v>
      </c>
    </row>
    <row r="15" spans="2:17" x14ac:dyDescent="0.35">
      <c r="B15" s="5">
        <v>10</v>
      </c>
      <c r="C15" s="9">
        <v>0.66666666666666663</v>
      </c>
      <c r="D15" s="9">
        <v>0.71388888888888891</v>
      </c>
      <c r="E15" s="5" t="s">
        <v>5</v>
      </c>
      <c r="F15" s="22">
        <v>0.34</v>
      </c>
      <c r="G15" s="25">
        <f t="shared" si="0"/>
        <v>3.9599999999999995</v>
      </c>
    </row>
    <row r="16" spans="2:17" x14ac:dyDescent="0.35">
      <c r="B16" s="5">
        <v>11</v>
      </c>
      <c r="C16" s="9">
        <v>0.71527777777777779</v>
      </c>
      <c r="D16" s="9">
        <v>0.74236111111111114</v>
      </c>
      <c r="E16" s="5" t="s">
        <v>5</v>
      </c>
      <c r="F16" s="22">
        <v>0.34</v>
      </c>
      <c r="G16" s="25">
        <f t="shared" si="0"/>
        <v>3.9599999999999995</v>
      </c>
    </row>
    <row r="17" spans="2:7" x14ac:dyDescent="0.35">
      <c r="B17" s="5">
        <v>12</v>
      </c>
      <c r="C17" s="9">
        <v>0.74444444444444446</v>
      </c>
      <c r="D17" s="9">
        <v>0.77152777777777781</v>
      </c>
      <c r="E17" s="5" t="s">
        <v>5</v>
      </c>
      <c r="F17" s="22">
        <v>0.34</v>
      </c>
      <c r="G17" s="25">
        <f t="shared" si="0"/>
        <v>3.9599999999999995</v>
      </c>
    </row>
    <row r="18" spans="2:7" x14ac:dyDescent="0.35">
      <c r="B18" s="5">
        <v>13</v>
      </c>
      <c r="C18" s="9">
        <v>0.7729166666666667</v>
      </c>
      <c r="D18" s="9">
        <v>0.79374999999999996</v>
      </c>
      <c r="E18" s="5" t="s">
        <v>5</v>
      </c>
      <c r="F18" s="22">
        <v>0.34</v>
      </c>
      <c r="G18" s="25">
        <f t="shared" si="0"/>
        <v>3.9599999999999995</v>
      </c>
    </row>
    <row r="19" spans="2:7" x14ac:dyDescent="0.35">
      <c r="B19" s="5">
        <v>14</v>
      </c>
      <c r="C19" s="9">
        <v>0.79861111111111116</v>
      </c>
      <c r="D19" s="9">
        <v>0.81944444444444442</v>
      </c>
      <c r="E19" s="5" t="s">
        <v>5</v>
      </c>
      <c r="F19" s="22">
        <v>0.34</v>
      </c>
      <c r="G19" s="25">
        <f t="shared" si="0"/>
        <v>3.9599999999999995</v>
      </c>
    </row>
    <row r="20" spans="2:7" x14ac:dyDescent="0.35">
      <c r="B20" s="5">
        <v>15</v>
      </c>
      <c r="C20" s="9">
        <v>0.82638888888888884</v>
      </c>
      <c r="D20" s="9">
        <v>0.84722222222222221</v>
      </c>
      <c r="E20" s="5" t="s">
        <v>5</v>
      </c>
      <c r="F20" s="22">
        <v>0.34</v>
      </c>
      <c r="G20" s="25">
        <f t="shared" si="0"/>
        <v>3.9599999999999995</v>
      </c>
    </row>
    <row r="21" spans="2:7" x14ac:dyDescent="0.35">
      <c r="B21" s="5">
        <v>16</v>
      </c>
      <c r="C21" s="9">
        <v>0.85416666666666663</v>
      </c>
      <c r="D21" s="9">
        <v>0.875</v>
      </c>
      <c r="E21" s="5" t="s">
        <v>5</v>
      </c>
      <c r="F21" s="22">
        <v>0.34</v>
      </c>
      <c r="G21" s="25">
        <f t="shared" si="0"/>
        <v>3.9599999999999995</v>
      </c>
    </row>
    <row r="22" spans="2:7" x14ac:dyDescent="0.35">
      <c r="B22" s="5">
        <v>17</v>
      </c>
      <c r="C22" s="9">
        <v>0.88541666666666663</v>
      </c>
      <c r="D22" s="9">
        <v>0.90972222222222221</v>
      </c>
      <c r="E22" s="5" t="s">
        <v>5</v>
      </c>
      <c r="F22" s="22">
        <v>0.34</v>
      </c>
      <c r="G22" s="25">
        <f t="shared" si="0"/>
        <v>3.9599999999999995</v>
      </c>
    </row>
    <row r="23" spans="2:7" x14ac:dyDescent="0.35">
      <c r="B23" s="5">
        <v>18</v>
      </c>
      <c r="C23" s="9">
        <v>0.91666666666666663</v>
      </c>
      <c r="D23" s="9">
        <v>0.9375</v>
      </c>
      <c r="E23" s="5" t="s">
        <v>5</v>
      </c>
      <c r="F23" s="22">
        <v>0.34</v>
      </c>
      <c r="G23" s="25">
        <f t="shared" si="0"/>
        <v>3.9599999999999995</v>
      </c>
    </row>
    <row r="24" spans="2:7" x14ac:dyDescent="0.35">
      <c r="B24" s="5">
        <v>19</v>
      </c>
      <c r="C24" s="9">
        <v>0.94444444444444442</v>
      </c>
      <c r="D24" s="9">
        <v>0.98611111111111116</v>
      </c>
      <c r="E24" s="5" t="s">
        <v>5</v>
      </c>
      <c r="F24" s="22">
        <v>0.34</v>
      </c>
      <c r="G24" s="25">
        <f t="shared" si="0"/>
        <v>3.9599999999999995</v>
      </c>
    </row>
    <row r="25" spans="2:7" x14ac:dyDescent="0.35">
      <c r="B25" s="5">
        <v>20</v>
      </c>
      <c r="C25" s="9">
        <v>0.99305555555555558</v>
      </c>
      <c r="D25" s="9">
        <v>1.3888888888888888E-2</v>
      </c>
      <c r="E25" s="5" t="s">
        <v>5</v>
      </c>
      <c r="F25" s="22">
        <v>0.34</v>
      </c>
      <c r="G25" s="25">
        <f t="shared" si="0"/>
        <v>3.9599999999999995</v>
      </c>
    </row>
    <row r="26" spans="2:7" x14ac:dyDescent="0.35">
      <c r="B26" s="5">
        <v>21</v>
      </c>
      <c r="C26" s="9">
        <v>2.0833333333333332E-2</v>
      </c>
      <c r="D26" s="9">
        <v>6.25E-2</v>
      </c>
      <c r="E26" s="5" t="s">
        <v>5</v>
      </c>
      <c r="F26" s="22">
        <v>0.34</v>
      </c>
      <c r="G26" s="25">
        <f t="shared" si="0"/>
        <v>3.9599999999999995</v>
      </c>
    </row>
    <row r="27" spans="2:7" x14ac:dyDescent="0.35">
      <c r="B27" s="5">
        <v>22</v>
      </c>
      <c r="C27" s="9">
        <v>7.6388888888888895E-2</v>
      </c>
      <c r="D27" s="9">
        <v>0.11805555555555555</v>
      </c>
      <c r="E27" s="5" t="s">
        <v>5</v>
      </c>
      <c r="F27" s="22">
        <v>0.34</v>
      </c>
      <c r="G27" s="25">
        <f t="shared" si="0"/>
        <v>3.9599999999999995</v>
      </c>
    </row>
    <row r="28" spans="2:7" x14ac:dyDescent="0.35">
      <c r="B28" s="5">
        <v>23</v>
      </c>
      <c r="C28" s="9">
        <v>0.14583333333333334</v>
      </c>
      <c r="D28" s="9">
        <v>0.19097222222222221</v>
      </c>
      <c r="E28" s="5" t="s">
        <v>5</v>
      </c>
      <c r="F28" s="22">
        <v>0.34</v>
      </c>
      <c r="G28" s="25">
        <f t="shared" si="0"/>
        <v>3.9599999999999995</v>
      </c>
    </row>
    <row r="29" spans="2:7" x14ac:dyDescent="0.35">
      <c r="B29" s="5">
        <v>24</v>
      </c>
      <c r="C29" s="9">
        <v>0.22916666666666666</v>
      </c>
      <c r="D29" s="9">
        <v>0.27083333333333331</v>
      </c>
      <c r="E29" s="5" t="s">
        <v>5</v>
      </c>
      <c r="F29" s="22">
        <v>0.34</v>
      </c>
      <c r="G29" s="25">
        <f t="shared" si="0"/>
        <v>3.9599999999999995</v>
      </c>
    </row>
    <row r="30" spans="2:7" x14ac:dyDescent="0.35">
      <c r="B30" s="5"/>
      <c r="C30" s="9"/>
      <c r="D30" s="9"/>
      <c r="E30" s="5"/>
      <c r="F30" s="22"/>
      <c r="G30" s="25"/>
    </row>
    <row r="31" spans="2:7" x14ac:dyDescent="0.35">
      <c r="B31" s="5"/>
      <c r="C31" s="9"/>
      <c r="D31" s="9"/>
      <c r="E31" s="5"/>
      <c r="F31" s="22"/>
      <c r="G31" s="25"/>
    </row>
    <row r="32" spans="2:7" x14ac:dyDescent="0.35">
      <c r="B32" s="5"/>
      <c r="C32" s="9"/>
      <c r="D32" s="9"/>
      <c r="E32" s="5"/>
      <c r="F32" s="22"/>
      <c r="G32" s="25"/>
    </row>
    <row r="33" spans="2:9" x14ac:dyDescent="0.35">
      <c r="B33" s="29" t="s">
        <v>22</v>
      </c>
      <c r="C33" s="104"/>
      <c r="D33" s="105"/>
      <c r="E33" s="105"/>
      <c r="F33" s="106"/>
      <c r="G33" s="30">
        <f>SUM(G6:G29)</f>
        <v>95.039999999999964</v>
      </c>
      <c r="I33" s="37"/>
    </row>
  </sheetData>
  <mergeCells count="8">
    <mergeCell ref="M9:P9"/>
    <mergeCell ref="C33:F33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740E-8574-4D3A-98CC-A06EA56EB0EC}">
  <dimension ref="B3:Q33"/>
  <sheetViews>
    <sheetView workbookViewId="0">
      <selection activeCell="G33" sqref="A1:XFD1048576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9.36328125" style="1" bestFit="1" customWidth="1"/>
    <col min="14" max="14" width="10.81640625" style="1" bestFit="1" customWidth="1"/>
    <col min="15" max="15" width="15.90625" style="1" bestFit="1" customWidth="1"/>
    <col min="16" max="16" width="10.26953125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25</v>
      </c>
      <c r="N5" s="8" t="s">
        <v>26</v>
      </c>
      <c r="O5" s="8" t="s">
        <v>30</v>
      </c>
      <c r="P5" s="10" t="s">
        <v>27</v>
      </c>
      <c r="Q5" s="10" t="s">
        <v>31</v>
      </c>
    </row>
    <row r="6" spans="2:17" x14ac:dyDescent="0.35">
      <c r="B6" s="5">
        <v>1</v>
      </c>
      <c r="C6" s="9">
        <v>0.75</v>
      </c>
      <c r="D6" s="9">
        <v>0.79166666666666663</v>
      </c>
      <c r="E6" s="5" t="s">
        <v>5</v>
      </c>
      <c r="F6" s="22"/>
      <c r="G6" s="25">
        <f>I$6*(1-F6)</f>
        <v>6</v>
      </c>
      <c r="I6" s="40">
        <v>6</v>
      </c>
      <c r="L6" s="5">
        <v>1</v>
      </c>
      <c r="M6" s="5">
        <v>0.125</v>
      </c>
      <c r="N6" s="5">
        <v>1.26</v>
      </c>
      <c r="O6" s="5">
        <v>0.96499999999999997</v>
      </c>
      <c r="P6" s="28">
        <f>O6-M6</f>
        <v>0.84</v>
      </c>
      <c r="Q6" s="23">
        <f>(N6-P6)/N6</f>
        <v>0.33333333333333337</v>
      </c>
    </row>
    <row r="7" spans="2:17" x14ac:dyDescent="0.35">
      <c r="B7" s="5">
        <v>2</v>
      </c>
      <c r="C7" s="9">
        <v>0.82291666666666663</v>
      </c>
      <c r="D7" s="9">
        <v>0.86458333333333337</v>
      </c>
      <c r="E7" s="5" t="s">
        <v>5</v>
      </c>
      <c r="F7" s="22"/>
      <c r="G7" s="25">
        <f t="shared" ref="G7:G14" si="0">I$6*(1-F7)</f>
        <v>6</v>
      </c>
      <c r="L7" s="5">
        <v>2</v>
      </c>
      <c r="M7" s="5">
        <v>0.13500000000000001</v>
      </c>
      <c r="N7" s="5">
        <v>1.415</v>
      </c>
      <c r="O7" s="24">
        <v>1.0649999999999999</v>
      </c>
      <c r="P7" s="28">
        <f>O7-M7</f>
        <v>0.92999999999999994</v>
      </c>
      <c r="Q7" s="23">
        <f t="shared" ref="Q7:Q8" si="1">(N7-P7)/N7</f>
        <v>0.34275618374558309</v>
      </c>
    </row>
    <row r="8" spans="2:17" x14ac:dyDescent="0.35">
      <c r="B8" s="5">
        <v>3</v>
      </c>
      <c r="C8" s="9">
        <v>0.87152777777777779</v>
      </c>
      <c r="D8" s="9">
        <v>0.91319444444444442</v>
      </c>
      <c r="E8" s="5" t="s">
        <v>5</v>
      </c>
      <c r="F8" s="22"/>
      <c r="G8" s="25">
        <f t="shared" si="0"/>
        <v>6</v>
      </c>
      <c r="L8" s="5">
        <v>3</v>
      </c>
      <c r="M8" s="5">
        <v>0.125</v>
      </c>
      <c r="N8" s="5">
        <v>1.5</v>
      </c>
      <c r="O8" s="5">
        <v>1.1299999999999999</v>
      </c>
      <c r="P8" s="28">
        <f t="shared" ref="P8" si="2">O8-M8</f>
        <v>1.0049999999999999</v>
      </c>
      <c r="Q8" s="23">
        <f t="shared" si="1"/>
        <v>0.33000000000000007</v>
      </c>
    </row>
    <row r="9" spans="2:17" x14ac:dyDescent="0.35">
      <c r="B9" s="5">
        <v>4</v>
      </c>
      <c r="C9" s="9">
        <v>0.95833333333333337</v>
      </c>
      <c r="D9" s="9">
        <v>2.0833333333333332E-2</v>
      </c>
      <c r="E9" s="5" t="s">
        <v>5</v>
      </c>
      <c r="F9" s="22"/>
      <c r="G9" s="25">
        <f t="shared" si="0"/>
        <v>6</v>
      </c>
      <c r="L9" s="27" t="s">
        <v>32</v>
      </c>
      <c r="M9" s="93"/>
      <c r="N9" s="103"/>
      <c r="O9" s="103"/>
      <c r="P9" s="94"/>
      <c r="Q9" s="26">
        <f>AVERAGE(Q6:Q8)</f>
        <v>0.33536317235963886</v>
      </c>
    </row>
    <row r="10" spans="2:17" x14ac:dyDescent="0.35">
      <c r="B10" s="5">
        <v>5</v>
      </c>
      <c r="C10" s="9">
        <v>5.2083333333333336E-2</v>
      </c>
      <c r="D10" s="9">
        <v>9.7222222222222224E-2</v>
      </c>
      <c r="E10" s="5" t="s">
        <v>5</v>
      </c>
      <c r="F10" s="22"/>
      <c r="G10" s="25">
        <f t="shared" si="0"/>
        <v>6</v>
      </c>
    </row>
    <row r="11" spans="2:17" x14ac:dyDescent="0.35">
      <c r="B11" s="5">
        <v>6</v>
      </c>
      <c r="C11" s="9">
        <v>0.12152777777777778</v>
      </c>
      <c r="D11" s="9">
        <v>0.15277777777777779</v>
      </c>
      <c r="E11" s="5" t="s">
        <v>5</v>
      </c>
      <c r="F11" s="22"/>
      <c r="G11" s="25">
        <f t="shared" si="0"/>
        <v>6</v>
      </c>
    </row>
    <row r="12" spans="2:17" x14ac:dyDescent="0.35">
      <c r="B12" s="5">
        <v>7</v>
      </c>
      <c r="C12" s="9">
        <v>0.1736111111111111</v>
      </c>
      <c r="D12" s="9">
        <v>0.2048611111111111</v>
      </c>
      <c r="E12" s="5" t="s">
        <v>5</v>
      </c>
      <c r="F12" s="22"/>
      <c r="G12" s="25">
        <f t="shared" si="0"/>
        <v>6</v>
      </c>
    </row>
    <row r="13" spans="2:17" x14ac:dyDescent="0.35">
      <c r="B13" s="5">
        <v>8</v>
      </c>
      <c r="C13" s="9">
        <v>0.21875</v>
      </c>
      <c r="D13" s="9">
        <v>0.24305555555555555</v>
      </c>
      <c r="E13" s="5" t="s">
        <v>5</v>
      </c>
      <c r="F13" s="22"/>
      <c r="G13" s="25">
        <f t="shared" si="0"/>
        <v>6</v>
      </c>
      <c r="I13" s="39"/>
    </row>
    <row r="14" spans="2:17" x14ac:dyDescent="0.35">
      <c r="B14" s="5">
        <v>9</v>
      </c>
      <c r="C14" s="9">
        <v>0.25347222222222221</v>
      </c>
      <c r="D14" s="9">
        <v>0.27777777777777779</v>
      </c>
      <c r="E14" s="5" t="s">
        <v>5</v>
      </c>
      <c r="F14" s="22"/>
      <c r="G14" s="25">
        <f t="shared" si="0"/>
        <v>6</v>
      </c>
    </row>
    <row r="15" spans="2:17" x14ac:dyDescent="0.35">
      <c r="B15" s="5"/>
      <c r="C15" s="9"/>
      <c r="D15" s="9"/>
      <c r="E15" s="5"/>
      <c r="F15" s="22"/>
      <c r="G15" s="25"/>
    </row>
    <row r="16" spans="2:17" x14ac:dyDescent="0.35">
      <c r="B16" s="5"/>
      <c r="C16" s="9"/>
      <c r="D16" s="9"/>
      <c r="E16" s="5"/>
      <c r="F16" s="22"/>
      <c r="G16" s="25"/>
    </row>
    <row r="17" spans="2:7" x14ac:dyDescent="0.35">
      <c r="B17" s="5"/>
      <c r="C17" s="9"/>
      <c r="D17" s="9"/>
      <c r="E17" s="5"/>
      <c r="F17" s="22"/>
      <c r="G17" s="25"/>
    </row>
    <row r="18" spans="2:7" x14ac:dyDescent="0.35">
      <c r="B18" s="5"/>
      <c r="C18" s="9"/>
      <c r="D18" s="9"/>
      <c r="E18" s="5"/>
      <c r="F18" s="22"/>
      <c r="G18" s="25"/>
    </row>
    <row r="19" spans="2:7" x14ac:dyDescent="0.35">
      <c r="B19" s="5"/>
      <c r="C19" s="9"/>
      <c r="D19" s="9"/>
      <c r="E19" s="5"/>
      <c r="F19" s="22"/>
      <c r="G19" s="25"/>
    </row>
    <row r="20" spans="2:7" x14ac:dyDescent="0.35">
      <c r="B20" s="5"/>
      <c r="C20" s="9"/>
      <c r="D20" s="9"/>
      <c r="E20" s="5"/>
      <c r="F20" s="22"/>
      <c r="G20" s="25"/>
    </row>
    <row r="21" spans="2:7" x14ac:dyDescent="0.35">
      <c r="B21" s="5"/>
      <c r="C21" s="9"/>
      <c r="D21" s="9"/>
      <c r="E21" s="5"/>
      <c r="F21" s="22"/>
      <c r="G21" s="25"/>
    </row>
    <row r="22" spans="2:7" x14ac:dyDescent="0.35">
      <c r="B22" s="5"/>
      <c r="C22" s="9"/>
      <c r="D22" s="9"/>
      <c r="E22" s="5"/>
      <c r="F22" s="22"/>
      <c r="G22" s="25"/>
    </row>
    <row r="23" spans="2:7" x14ac:dyDescent="0.35">
      <c r="B23" s="5"/>
      <c r="C23" s="9"/>
      <c r="D23" s="9"/>
      <c r="E23" s="5"/>
      <c r="F23" s="22"/>
      <c r="G23" s="25"/>
    </row>
    <row r="24" spans="2:7" x14ac:dyDescent="0.35">
      <c r="B24" s="5"/>
      <c r="C24" s="9"/>
      <c r="D24" s="9"/>
      <c r="E24" s="5"/>
      <c r="F24" s="22"/>
      <c r="G24" s="25"/>
    </row>
    <row r="25" spans="2:7" x14ac:dyDescent="0.35">
      <c r="B25" s="5"/>
      <c r="C25" s="9"/>
      <c r="D25" s="9"/>
      <c r="E25" s="5"/>
      <c r="F25" s="22"/>
      <c r="G25" s="25"/>
    </row>
    <row r="26" spans="2:7" x14ac:dyDescent="0.35">
      <c r="B26" s="5"/>
      <c r="C26" s="9"/>
      <c r="D26" s="9"/>
      <c r="E26" s="5"/>
      <c r="F26" s="22"/>
      <c r="G26" s="25"/>
    </row>
    <row r="27" spans="2:7" x14ac:dyDescent="0.35">
      <c r="B27" s="5"/>
      <c r="C27" s="9"/>
      <c r="D27" s="9"/>
      <c r="E27" s="5"/>
      <c r="F27" s="22"/>
      <c r="G27" s="25"/>
    </row>
    <row r="28" spans="2:7" x14ac:dyDescent="0.35">
      <c r="B28" s="5"/>
      <c r="C28" s="9"/>
      <c r="D28" s="9"/>
      <c r="E28" s="5"/>
      <c r="F28" s="22"/>
      <c r="G28" s="25"/>
    </row>
    <row r="29" spans="2:7" x14ac:dyDescent="0.35">
      <c r="B29" s="5"/>
      <c r="C29" s="9"/>
      <c r="D29" s="9"/>
      <c r="E29" s="5"/>
      <c r="F29" s="22"/>
      <c r="G29" s="25"/>
    </row>
    <row r="30" spans="2:7" x14ac:dyDescent="0.35">
      <c r="B30" s="5"/>
      <c r="C30" s="9"/>
      <c r="D30" s="9"/>
      <c r="E30" s="5"/>
      <c r="F30" s="22"/>
      <c r="G30" s="25"/>
    </row>
    <row r="31" spans="2:7" x14ac:dyDescent="0.35">
      <c r="B31" s="5"/>
      <c r="C31" s="9"/>
      <c r="D31" s="9"/>
      <c r="E31" s="5"/>
      <c r="F31" s="22"/>
      <c r="G31" s="25"/>
    </row>
    <row r="32" spans="2:7" x14ac:dyDescent="0.35">
      <c r="B32" s="5"/>
      <c r="C32" s="9"/>
      <c r="D32" s="9"/>
      <c r="E32" s="5"/>
      <c r="F32" s="22"/>
      <c r="G32" s="25"/>
    </row>
    <row r="33" spans="2:9" x14ac:dyDescent="0.35">
      <c r="B33" s="29" t="s">
        <v>22</v>
      </c>
      <c r="C33" s="104"/>
      <c r="D33" s="105"/>
      <c r="E33" s="105"/>
      <c r="F33" s="106"/>
      <c r="G33" s="30">
        <f>SUM(G6:G29)</f>
        <v>54</v>
      </c>
      <c r="I33" s="37"/>
    </row>
  </sheetData>
  <mergeCells count="8">
    <mergeCell ref="M9:P9"/>
    <mergeCell ref="C33:F33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7FEC-AD06-4C6B-92E0-B91E9DA62BC5}">
  <dimension ref="B3:Q35"/>
  <sheetViews>
    <sheetView workbookViewId="0">
      <selection activeCell="G15" sqref="A1:XFD1048576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13.1796875" style="1" bestFit="1" customWidth="1"/>
    <col min="14" max="14" width="14.6328125" style="1" bestFit="1" customWidth="1"/>
    <col min="15" max="15" width="19.6328125" style="1" bestFit="1" customWidth="1"/>
    <col min="16" max="16" width="14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52</v>
      </c>
      <c r="N5" s="8" t="s">
        <v>53</v>
      </c>
      <c r="O5" s="8" t="s">
        <v>54</v>
      </c>
      <c r="P5" s="10" t="s">
        <v>55</v>
      </c>
      <c r="Q5" s="10" t="s">
        <v>31</v>
      </c>
    </row>
    <row r="6" spans="2:17" x14ac:dyDescent="0.35">
      <c r="B6" s="5">
        <v>1</v>
      </c>
      <c r="C6" s="9">
        <v>0.45833333333333331</v>
      </c>
      <c r="D6" s="9">
        <v>0.47916666666666669</v>
      </c>
      <c r="E6" s="5" t="s">
        <v>5</v>
      </c>
      <c r="F6" s="22">
        <v>0.33</v>
      </c>
      <c r="G6" s="25">
        <f>I$6*(1-F6)</f>
        <v>4.0199999999999996</v>
      </c>
      <c r="I6" s="40">
        <v>6</v>
      </c>
      <c r="L6" s="5">
        <v>1</v>
      </c>
      <c r="M6" s="5">
        <v>0.13</v>
      </c>
      <c r="N6" s="5">
        <v>1.34</v>
      </c>
      <c r="O6" s="5">
        <v>1.01</v>
      </c>
      <c r="P6" s="28">
        <f>O6-M6</f>
        <v>0.88</v>
      </c>
      <c r="Q6" s="23">
        <f>(N6-P6)/N6</f>
        <v>0.34328358208955229</v>
      </c>
    </row>
    <row r="7" spans="2:17" x14ac:dyDescent="0.35">
      <c r="B7" s="5">
        <v>2</v>
      </c>
      <c r="C7" s="9">
        <v>0.48680555555555555</v>
      </c>
      <c r="D7" s="9">
        <v>0.51666666666666672</v>
      </c>
      <c r="E7" s="5" t="s">
        <v>5</v>
      </c>
      <c r="F7" s="22">
        <v>0.33</v>
      </c>
      <c r="G7" s="25">
        <f t="shared" ref="G7:G34" si="0">I$6*(1-F7)</f>
        <v>4.0199999999999996</v>
      </c>
      <c r="L7" s="5">
        <v>2</v>
      </c>
      <c r="M7" s="5">
        <v>0.14000000000000001</v>
      </c>
      <c r="N7" s="5">
        <v>1.395</v>
      </c>
      <c r="O7" s="25">
        <v>1.0900000000000001</v>
      </c>
      <c r="P7" s="28">
        <f>O7-M7</f>
        <v>0.95000000000000007</v>
      </c>
      <c r="Q7" s="23">
        <f t="shared" ref="Q7:Q8" si="1">(N7-P7)/N7</f>
        <v>0.31899641577060928</v>
      </c>
    </row>
    <row r="8" spans="2:17" x14ac:dyDescent="0.35">
      <c r="B8" s="5">
        <v>3</v>
      </c>
      <c r="C8" s="9">
        <v>0.5180555555555556</v>
      </c>
      <c r="D8" s="9">
        <v>0.53749999999999998</v>
      </c>
      <c r="E8" s="5" t="s">
        <v>5</v>
      </c>
      <c r="F8" s="22">
        <v>0.33</v>
      </c>
      <c r="G8" s="25">
        <f t="shared" si="0"/>
        <v>4.0199999999999996</v>
      </c>
      <c r="L8" s="5">
        <v>3</v>
      </c>
      <c r="M8" s="5">
        <v>0.13</v>
      </c>
      <c r="N8" s="5">
        <v>1.38</v>
      </c>
      <c r="O8" s="5">
        <v>1.04</v>
      </c>
      <c r="P8" s="28">
        <f t="shared" ref="P8" si="2">O8-M8</f>
        <v>0.91</v>
      </c>
      <c r="Q8" s="23">
        <f t="shared" si="1"/>
        <v>0.34057971014492744</v>
      </c>
    </row>
    <row r="9" spans="2:17" x14ac:dyDescent="0.35">
      <c r="B9" s="5">
        <v>4</v>
      </c>
      <c r="C9" s="9">
        <v>0.54583333333333328</v>
      </c>
      <c r="D9" s="9">
        <v>0.56597222222222221</v>
      </c>
      <c r="E9" s="5" t="s">
        <v>5</v>
      </c>
      <c r="F9" s="22">
        <v>0.33</v>
      </c>
      <c r="G9" s="25">
        <f t="shared" si="0"/>
        <v>4.0199999999999996</v>
      </c>
      <c r="L9" s="27" t="s">
        <v>32</v>
      </c>
      <c r="M9" s="93"/>
      <c r="N9" s="103"/>
      <c r="O9" s="103"/>
      <c r="P9" s="94"/>
      <c r="Q9" s="26">
        <f>AVERAGE(Q6:Q8)</f>
        <v>0.33428656933502965</v>
      </c>
    </row>
    <row r="10" spans="2:17" x14ac:dyDescent="0.35">
      <c r="B10" s="5">
        <v>5</v>
      </c>
      <c r="C10" s="9">
        <v>0.57638888888888884</v>
      </c>
      <c r="D10" s="9">
        <v>0.59722222222222221</v>
      </c>
      <c r="E10" s="5" t="s">
        <v>5</v>
      </c>
      <c r="F10" s="22">
        <v>0.33</v>
      </c>
      <c r="G10" s="25">
        <f t="shared" si="0"/>
        <v>4.0199999999999996</v>
      </c>
    </row>
    <row r="11" spans="2:17" x14ac:dyDescent="0.35">
      <c r="B11" s="5">
        <v>6</v>
      </c>
      <c r="C11" s="9">
        <v>0.6069444444444444</v>
      </c>
      <c r="D11" s="9">
        <v>0.625</v>
      </c>
      <c r="E11" s="5" t="s">
        <v>5</v>
      </c>
      <c r="F11" s="22">
        <v>0.33</v>
      </c>
      <c r="G11" s="25">
        <f t="shared" si="0"/>
        <v>4.0199999999999996</v>
      </c>
    </row>
    <row r="12" spans="2:17" x14ac:dyDescent="0.35">
      <c r="B12" s="5">
        <v>7</v>
      </c>
      <c r="C12" s="9">
        <v>0.63541666666666663</v>
      </c>
      <c r="D12" s="9">
        <v>0.65625</v>
      </c>
      <c r="E12" s="5" t="s">
        <v>5</v>
      </c>
      <c r="F12" s="22">
        <v>0.33</v>
      </c>
      <c r="G12" s="25">
        <f t="shared" si="0"/>
        <v>4.0199999999999996</v>
      </c>
    </row>
    <row r="13" spans="2:17" x14ac:dyDescent="0.35">
      <c r="B13" s="5">
        <v>8</v>
      </c>
      <c r="C13" s="9">
        <v>0.66597222222222219</v>
      </c>
      <c r="D13" s="9">
        <v>0.68819444444444444</v>
      </c>
      <c r="E13" s="5" t="s">
        <v>5</v>
      </c>
      <c r="F13" s="22">
        <v>0.33</v>
      </c>
      <c r="G13" s="25">
        <f t="shared" si="0"/>
        <v>4.0199999999999996</v>
      </c>
      <c r="I13" s="39"/>
    </row>
    <row r="14" spans="2:17" x14ac:dyDescent="0.35">
      <c r="B14" s="5">
        <v>9</v>
      </c>
      <c r="C14" s="9">
        <v>0.69652777777777775</v>
      </c>
      <c r="D14" s="9">
        <v>0.71666666666666667</v>
      </c>
      <c r="E14" s="5" t="s">
        <v>5</v>
      </c>
      <c r="F14" s="22">
        <v>0.33</v>
      </c>
      <c r="G14" s="25">
        <f t="shared" si="0"/>
        <v>4.0199999999999996</v>
      </c>
    </row>
    <row r="15" spans="2:17" x14ac:dyDescent="0.35">
      <c r="B15" s="5">
        <v>10</v>
      </c>
      <c r="C15" s="9">
        <v>0.72499999999999998</v>
      </c>
      <c r="D15" s="9">
        <v>0.74305555555555558</v>
      </c>
      <c r="E15" s="5" t="s">
        <v>5</v>
      </c>
      <c r="F15" s="22">
        <v>0.33</v>
      </c>
      <c r="G15" s="25">
        <f>I$6*(1-F15)</f>
        <v>4.0199999999999996</v>
      </c>
    </row>
    <row r="16" spans="2:17" x14ac:dyDescent="0.35">
      <c r="B16" s="5">
        <v>11</v>
      </c>
      <c r="C16" s="9">
        <v>0.75208333333333333</v>
      </c>
      <c r="D16" s="9">
        <v>0.77083333333333337</v>
      </c>
      <c r="E16" s="5" t="s">
        <v>5</v>
      </c>
      <c r="F16" s="22">
        <v>0.33</v>
      </c>
      <c r="G16" s="25">
        <f t="shared" si="0"/>
        <v>4.0199999999999996</v>
      </c>
    </row>
    <row r="17" spans="2:7" x14ac:dyDescent="0.35">
      <c r="B17" s="5">
        <v>12</v>
      </c>
      <c r="C17" s="9">
        <v>0.77777777777777779</v>
      </c>
      <c r="D17" s="9">
        <v>0.79861111111111116</v>
      </c>
      <c r="E17" s="5" t="s">
        <v>5</v>
      </c>
      <c r="F17" s="22">
        <v>0.33</v>
      </c>
      <c r="G17" s="25">
        <f t="shared" si="0"/>
        <v>4.0199999999999996</v>
      </c>
    </row>
    <row r="18" spans="2:7" x14ac:dyDescent="0.35">
      <c r="B18" s="5">
        <v>13</v>
      </c>
      <c r="C18" s="9">
        <v>0.80555555555555558</v>
      </c>
      <c r="D18" s="9">
        <v>0.82638888888888884</v>
      </c>
      <c r="E18" s="5" t="s">
        <v>5</v>
      </c>
      <c r="F18" s="22">
        <v>0.33</v>
      </c>
      <c r="G18" s="25">
        <f t="shared" si="0"/>
        <v>4.0199999999999996</v>
      </c>
    </row>
    <row r="19" spans="2:7" x14ac:dyDescent="0.35">
      <c r="B19" s="5">
        <v>14</v>
      </c>
      <c r="C19" s="9">
        <v>0.83333333333333337</v>
      </c>
      <c r="D19" s="9">
        <v>0.85416666666666663</v>
      </c>
      <c r="E19" s="5" t="s">
        <v>5</v>
      </c>
      <c r="F19" s="22">
        <v>0.33</v>
      </c>
      <c r="G19" s="25">
        <f t="shared" si="0"/>
        <v>4.0199999999999996</v>
      </c>
    </row>
    <row r="20" spans="2:7" x14ac:dyDescent="0.35">
      <c r="B20" s="5">
        <v>15</v>
      </c>
      <c r="C20" s="9">
        <v>0.86111111111111116</v>
      </c>
      <c r="D20" s="9">
        <v>0.88194444444444442</v>
      </c>
      <c r="E20" s="5" t="s">
        <v>5</v>
      </c>
      <c r="F20" s="22">
        <v>0.33</v>
      </c>
      <c r="G20" s="25">
        <f t="shared" si="0"/>
        <v>4.0199999999999996</v>
      </c>
    </row>
    <row r="21" spans="2:7" x14ac:dyDescent="0.35">
      <c r="B21" s="5">
        <v>16</v>
      </c>
      <c r="C21" s="9">
        <v>0.88888888888888884</v>
      </c>
      <c r="D21" s="9">
        <v>0.90972222222222221</v>
      </c>
      <c r="E21" s="5" t="s">
        <v>5</v>
      </c>
      <c r="F21" s="22">
        <v>0.33</v>
      </c>
      <c r="G21" s="25">
        <f t="shared" si="0"/>
        <v>4.0199999999999996</v>
      </c>
    </row>
    <row r="22" spans="2:7" x14ac:dyDescent="0.35">
      <c r="B22" s="5">
        <v>17</v>
      </c>
      <c r="C22" s="9">
        <v>0.91666666666666663</v>
      </c>
      <c r="D22" s="9">
        <v>0.9375</v>
      </c>
      <c r="E22" s="5" t="s">
        <v>5</v>
      </c>
      <c r="F22" s="22">
        <v>0.33</v>
      </c>
      <c r="G22" s="25">
        <f t="shared" si="0"/>
        <v>4.0199999999999996</v>
      </c>
    </row>
    <row r="23" spans="2:7" x14ac:dyDescent="0.35">
      <c r="B23" s="5">
        <v>18</v>
      </c>
      <c r="C23" s="9">
        <v>0.94444444444444442</v>
      </c>
      <c r="D23" s="9">
        <v>0.96527777777777779</v>
      </c>
      <c r="E23" s="5" t="s">
        <v>5</v>
      </c>
      <c r="F23" s="22">
        <v>0.33</v>
      </c>
      <c r="G23" s="25">
        <f t="shared" si="0"/>
        <v>4.0199999999999996</v>
      </c>
    </row>
    <row r="24" spans="2:7" x14ac:dyDescent="0.35">
      <c r="B24" s="5">
        <v>19</v>
      </c>
      <c r="C24" s="9">
        <v>0.97222222222222221</v>
      </c>
      <c r="D24" s="9">
        <v>0.99305555555555558</v>
      </c>
      <c r="E24" s="5" t="s">
        <v>5</v>
      </c>
      <c r="F24" s="22">
        <v>0.33</v>
      </c>
      <c r="G24" s="25">
        <f t="shared" si="0"/>
        <v>4.0199999999999996</v>
      </c>
    </row>
    <row r="25" spans="2:7" x14ac:dyDescent="0.35">
      <c r="B25" s="5">
        <v>20</v>
      </c>
      <c r="C25" s="9">
        <v>0</v>
      </c>
      <c r="D25" s="9">
        <v>2.0833333333333332E-2</v>
      </c>
      <c r="E25" s="5" t="s">
        <v>5</v>
      </c>
      <c r="F25" s="22">
        <v>0.33</v>
      </c>
      <c r="G25" s="25">
        <f t="shared" si="0"/>
        <v>4.0199999999999996</v>
      </c>
    </row>
    <row r="26" spans="2:7" x14ac:dyDescent="0.35">
      <c r="B26" s="5">
        <v>21</v>
      </c>
      <c r="C26" s="9">
        <v>2.7777777777777776E-2</v>
      </c>
      <c r="D26" s="9">
        <v>4.8611111111111112E-2</v>
      </c>
      <c r="E26" s="5" t="s">
        <v>5</v>
      </c>
      <c r="F26" s="22">
        <v>0.33</v>
      </c>
      <c r="G26" s="25">
        <f t="shared" si="0"/>
        <v>4.0199999999999996</v>
      </c>
    </row>
    <row r="27" spans="2:7" x14ac:dyDescent="0.35">
      <c r="B27" s="5">
        <v>22</v>
      </c>
      <c r="C27" s="9">
        <v>5.5555555555555552E-2</v>
      </c>
      <c r="D27" s="9">
        <v>7.6388888888888895E-2</v>
      </c>
      <c r="E27" s="5" t="s">
        <v>5</v>
      </c>
      <c r="F27" s="22">
        <v>0.33</v>
      </c>
      <c r="G27" s="25">
        <f t="shared" si="0"/>
        <v>4.0199999999999996</v>
      </c>
    </row>
    <row r="28" spans="2:7" x14ac:dyDescent="0.35">
      <c r="B28" s="5">
        <v>23</v>
      </c>
      <c r="C28" s="9">
        <v>8.3333333333333329E-2</v>
      </c>
      <c r="D28" s="9">
        <v>0.10416666666666667</v>
      </c>
      <c r="E28" s="5" t="s">
        <v>5</v>
      </c>
      <c r="F28" s="22">
        <v>0.33</v>
      </c>
      <c r="G28" s="25">
        <f t="shared" si="0"/>
        <v>4.0199999999999996</v>
      </c>
    </row>
    <row r="29" spans="2:7" x14ac:dyDescent="0.35">
      <c r="B29" s="5">
        <v>24</v>
      </c>
      <c r="C29" s="9">
        <v>0.1111111111111111</v>
      </c>
      <c r="D29" s="9">
        <v>0.1388888888888889</v>
      </c>
      <c r="E29" s="5" t="s">
        <v>5</v>
      </c>
      <c r="F29" s="22">
        <v>0.33</v>
      </c>
      <c r="G29" s="25">
        <f t="shared" si="0"/>
        <v>4.0199999999999996</v>
      </c>
    </row>
    <row r="30" spans="2:7" x14ac:dyDescent="0.35">
      <c r="B30" s="5">
        <v>25</v>
      </c>
      <c r="C30" s="9">
        <v>0.14583333333333334</v>
      </c>
      <c r="D30" s="9">
        <v>0.16666666666666666</v>
      </c>
      <c r="E30" s="5" t="s">
        <v>5</v>
      </c>
      <c r="F30" s="22">
        <v>0.33</v>
      </c>
      <c r="G30" s="25">
        <f t="shared" si="0"/>
        <v>4.0199999999999996</v>
      </c>
    </row>
    <row r="31" spans="2:7" x14ac:dyDescent="0.35">
      <c r="B31" s="5">
        <v>26</v>
      </c>
      <c r="C31" s="9">
        <v>0.1736111111111111</v>
      </c>
      <c r="D31" s="9">
        <v>0.19444444444444445</v>
      </c>
      <c r="E31" s="5" t="s">
        <v>5</v>
      </c>
      <c r="F31" s="22">
        <v>0.33</v>
      </c>
      <c r="G31" s="25">
        <f t="shared" si="0"/>
        <v>4.0199999999999996</v>
      </c>
    </row>
    <row r="32" spans="2:7" x14ac:dyDescent="0.35">
      <c r="B32" s="5">
        <v>27</v>
      </c>
      <c r="C32" s="9">
        <v>0.2013888888888889</v>
      </c>
      <c r="D32" s="9">
        <v>0.22222222222222221</v>
      </c>
      <c r="E32" s="5" t="s">
        <v>5</v>
      </c>
      <c r="F32" s="22">
        <v>0.33</v>
      </c>
      <c r="G32" s="25">
        <f t="shared" si="0"/>
        <v>4.0199999999999996</v>
      </c>
    </row>
    <row r="33" spans="2:9" x14ac:dyDescent="0.35">
      <c r="B33" s="5">
        <v>28</v>
      </c>
      <c r="C33" s="9">
        <v>0.22916666666666666</v>
      </c>
      <c r="D33" s="9">
        <v>0.25</v>
      </c>
      <c r="E33" s="5" t="s">
        <v>5</v>
      </c>
      <c r="F33" s="22">
        <v>0.33</v>
      </c>
      <c r="G33" s="25">
        <f t="shared" si="0"/>
        <v>4.0199999999999996</v>
      </c>
    </row>
    <row r="34" spans="2:9" x14ac:dyDescent="0.35">
      <c r="B34" s="5">
        <v>29</v>
      </c>
      <c r="C34" s="9">
        <v>0.25694444444444442</v>
      </c>
      <c r="D34" s="9">
        <v>0.28472222222222221</v>
      </c>
      <c r="E34" s="5" t="s">
        <v>5</v>
      </c>
      <c r="F34" s="22">
        <v>0.33</v>
      </c>
      <c r="G34" s="25">
        <f t="shared" si="0"/>
        <v>4.0199999999999996</v>
      </c>
    </row>
    <row r="35" spans="2:9" x14ac:dyDescent="0.35">
      <c r="B35" s="29" t="s">
        <v>22</v>
      </c>
      <c r="C35" s="104"/>
      <c r="D35" s="105"/>
      <c r="E35" s="105"/>
      <c r="F35" s="106"/>
      <c r="G35" s="30">
        <f>SUM(G6:G29)</f>
        <v>96.479999999999933</v>
      </c>
      <c r="I35" s="37"/>
    </row>
  </sheetData>
  <mergeCells count="8">
    <mergeCell ref="M9:P9"/>
    <mergeCell ref="C35:F35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B5E0-E55C-4A2B-B570-1708822D0A2C}">
  <dimension ref="B3:Q35"/>
  <sheetViews>
    <sheetView workbookViewId="0">
      <selection activeCell="C7" sqref="C7:G34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13.1796875" style="1" bestFit="1" customWidth="1"/>
    <col min="14" max="14" width="14.6328125" style="1" bestFit="1" customWidth="1"/>
    <col min="15" max="15" width="19.6328125" style="1" bestFit="1" customWidth="1"/>
    <col min="16" max="16" width="14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52</v>
      </c>
      <c r="N5" s="8" t="s">
        <v>53</v>
      </c>
      <c r="O5" s="8" t="s">
        <v>54</v>
      </c>
      <c r="P5" s="10" t="s">
        <v>55</v>
      </c>
      <c r="Q5" s="10" t="s">
        <v>31</v>
      </c>
    </row>
    <row r="6" spans="2:17" x14ac:dyDescent="0.35">
      <c r="B6" s="5">
        <v>1</v>
      </c>
      <c r="C6" s="9">
        <v>0.28819444444444442</v>
      </c>
      <c r="D6" s="9">
        <v>0.31944444444444442</v>
      </c>
      <c r="E6" s="5" t="s">
        <v>5</v>
      </c>
      <c r="F6" s="22">
        <v>0.33</v>
      </c>
      <c r="G6" s="25">
        <f>I$6*(1-F6)</f>
        <v>4.0199999999999996</v>
      </c>
      <c r="I6" s="40">
        <v>6</v>
      </c>
      <c r="L6" s="5">
        <v>1</v>
      </c>
      <c r="M6" s="5">
        <v>0.13</v>
      </c>
      <c r="N6" s="5">
        <v>1.34</v>
      </c>
      <c r="O6" s="5">
        <v>1.01</v>
      </c>
      <c r="P6" s="28">
        <f>O6-M6</f>
        <v>0.88</v>
      </c>
      <c r="Q6" s="23">
        <f>(N6-P6)/N6</f>
        <v>0.34328358208955229</v>
      </c>
    </row>
    <row r="7" spans="2:17" x14ac:dyDescent="0.35">
      <c r="B7" s="5">
        <v>2</v>
      </c>
      <c r="C7" s="9"/>
      <c r="D7" s="9"/>
      <c r="E7" s="5"/>
      <c r="F7" s="22"/>
      <c r="G7" s="25"/>
      <c r="L7" s="5">
        <v>2</v>
      </c>
      <c r="M7" s="5">
        <v>0.14000000000000001</v>
      </c>
      <c r="N7" s="5">
        <v>1.395</v>
      </c>
      <c r="O7" s="25">
        <v>1.0900000000000001</v>
      </c>
      <c r="P7" s="28">
        <f>O7-M7</f>
        <v>0.95000000000000007</v>
      </c>
      <c r="Q7" s="23">
        <f t="shared" ref="Q7:Q8" si="0">(N7-P7)/N7</f>
        <v>0.31899641577060928</v>
      </c>
    </row>
    <row r="8" spans="2:17" x14ac:dyDescent="0.35">
      <c r="B8" s="5">
        <v>3</v>
      </c>
      <c r="C8" s="9"/>
      <c r="D8" s="9"/>
      <c r="E8" s="5"/>
      <c r="F8" s="22"/>
      <c r="G8" s="25"/>
      <c r="L8" s="5">
        <v>3</v>
      </c>
      <c r="M8" s="5">
        <v>0.13</v>
      </c>
      <c r="N8" s="5">
        <v>1.38</v>
      </c>
      <c r="O8" s="5">
        <v>1.04</v>
      </c>
      <c r="P8" s="28">
        <f t="shared" ref="P8" si="1">O8-M8</f>
        <v>0.91</v>
      </c>
      <c r="Q8" s="23">
        <f t="shared" si="0"/>
        <v>0.34057971014492744</v>
      </c>
    </row>
    <row r="9" spans="2:17" x14ac:dyDescent="0.35">
      <c r="B9" s="5">
        <v>4</v>
      </c>
      <c r="C9" s="9"/>
      <c r="D9" s="9"/>
      <c r="E9" s="5"/>
      <c r="F9" s="22"/>
      <c r="G9" s="25"/>
      <c r="L9" s="27" t="s">
        <v>32</v>
      </c>
      <c r="M9" s="93"/>
      <c r="N9" s="103"/>
      <c r="O9" s="103"/>
      <c r="P9" s="94"/>
      <c r="Q9" s="26">
        <f>AVERAGE(Q6:Q8)</f>
        <v>0.33428656933502965</v>
      </c>
    </row>
    <row r="10" spans="2:17" x14ac:dyDescent="0.35">
      <c r="B10" s="5">
        <v>5</v>
      </c>
      <c r="C10" s="9"/>
      <c r="D10" s="9"/>
      <c r="E10" s="5"/>
      <c r="F10" s="22"/>
      <c r="G10" s="25"/>
    </row>
    <row r="11" spans="2:17" x14ac:dyDescent="0.35">
      <c r="B11" s="5">
        <v>6</v>
      </c>
      <c r="C11" s="9"/>
      <c r="D11" s="9"/>
      <c r="E11" s="5"/>
      <c r="F11" s="22"/>
      <c r="G11" s="25"/>
    </row>
    <row r="12" spans="2:17" x14ac:dyDescent="0.35">
      <c r="B12" s="5">
        <v>7</v>
      </c>
      <c r="C12" s="9"/>
      <c r="D12" s="9"/>
      <c r="E12" s="5"/>
      <c r="F12" s="22"/>
      <c r="G12" s="25"/>
    </row>
    <row r="13" spans="2:17" x14ac:dyDescent="0.35">
      <c r="B13" s="5">
        <v>8</v>
      </c>
      <c r="C13" s="9"/>
      <c r="D13" s="9"/>
      <c r="E13" s="5"/>
      <c r="F13" s="22"/>
      <c r="G13" s="25"/>
      <c r="I13" s="39"/>
    </row>
    <row r="14" spans="2:17" x14ac:dyDescent="0.35">
      <c r="B14" s="5">
        <v>9</v>
      </c>
      <c r="C14" s="9"/>
      <c r="D14" s="9"/>
      <c r="E14" s="5"/>
      <c r="F14" s="22"/>
      <c r="G14" s="25"/>
    </row>
    <row r="15" spans="2:17" x14ac:dyDescent="0.35">
      <c r="B15" s="5">
        <v>10</v>
      </c>
      <c r="C15" s="9"/>
      <c r="D15" s="9"/>
      <c r="E15" s="5"/>
      <c r="F15" s="22"/>
      <c r="G15" s="25"/>
    </row>
    <row r="16" spans="2:17" x14ac:dyDescent="0.35">
      <c r="B16" s="5">
        <v>11</v>
      </c>
      <c r="C16" s="9"/>
      <c r="D16" s="9"/>
      <c r="E16" s="5"/>
      <c r="F16" s="22"/>
      <c r="G16" s="25"/>
    </row>
    <row r="17" spans="2:7" x14ac:dyDescent="0.35">
      <c r="B17" s="5">
        <v>12</v>
      </c>
      <c r="C17" s="9"/>
      <c r="D17" s="9"/>
      <c r="E17" s="5"/>
      <c r="F17" s="22"/>
      <c r="G17" s="25"/>
    </row>
    <row r="18" spans="2:7" x14ac:dyDescent="0.35">
      <c r="B18" s="5">
        <v>13</v>
      </c>
      <c r="C18" s="9"/>
      <c r="D18" s="9"/>
      <c r="E18" s="5"/>
      <c r="F18" s="22"/>
      <c r="G18" s="25"/>
    </row>
    <row r="19" spans="2:7" x14ac:dyDescent="0.35">
      <c r="B19" s="5">
        <v>14</v>
      </c>
      <c r="C19" s="9"/>
      <c r="D19" s="9"/>
      <c r="E19" s="5"/>
      <c r="F19" s="22"/>
      <c r="G19" s="25"/>
    </row>
    <row r="20" spans="2:7" x14ac:dyDescent="0.35">
      <c r="B20" s="5">
        <v>15</v>
      </c>
      <c r="C20" s="9"/>
      <c r="D20" s="9"/>
      <c r="E20" s="5"/>
      <c r="F20" s="22"/>
      <c r="G20" s="25"/>
    </row>
    <row r="21" spans="2:7" x14ac:dyDescent="0.35">
      <c r="B21" s="5">
        <v>16</v>
      </c>
      <c r="C21" s="9"/>
      <c r="D21" s="9"/>
      <c r="E21" s="5"/>
      <c r="F21" s="22"/>
      <c r="G21" s="25"/>
    </row>
    <row r="22" spans="2:7" x14ac:dyDescent="0.35">
      <c r="B22" s="5">
        <v>17</v>
      </c>
      <c r="C22" s="9"/>
      <c r="D22" s="9"/>
      <c r="E22" s="5"/>
      <c r="F22" s="22"/>
      <c r="G22" s="25"/>
    </row>
    <row r="23" spans="2:7" x14ac:dyDescent="0.35">
      <c r="B23" s="5">
        <v>18</v>
      </c>
      <c r="C23" s="9"/>
      <c r="D23" s="9"/>
      <c r="E23" s="5"/>
      <c r="F23" s="22"/>
      <c r="G23" s="25"/>
    </row>
    <row r="24" spans="2:7" x14ac:dyDescent="0.35">
      <c r="B24" s="5">
        <v>19</v>
      </c>
      <c r="C24" s="9"/>
      <c r="D24" s="9"/>
      <c r="E24" s="5"/>
      <c r="F24" s="22"/>
      <c r="G24" s="25"/>
    </row>
    <row r="25" spans="2:7" x14ac:dyDescent="0.35">
      <c r="B25" s="5">
        <v>20</v>
      </c>
      <c r="C25" s="9"/>
      <c r="D25" s="9"/>
      <c r="E25" s="5"/>
      <c r="F25" s="22"/>
      <c r="G25" s="25"/>
    </row>
    <row r="26" spans="2:7" x14ac:dyDescent="0.35">
      <c r="B26" s="5">
        <v>21</v>
      </c>
      <c r="C26" s="9"/>
      <c r="D26" s="9"/>
      <c r="E26" s="5"/>
      <c r="F26" s="22"/>
      <c r="G26" s="25"/>
    </row>
    <row r="27" spans="2:7" x14ac:dyDescent="0.35">
      <c r="B27" s="5">
        <v>22</v>
      </c>
      <c r="C27" s="9"/>
      <c r="D27" s="9"/>
      <c r="E27" s="5"/>
      <c r="F27" s="22"/>
      <c r="G27" s="25"/>
    </row>
    <row r="28" spans="2:7" x14ac:dyDescent="0.35">
      <c r="B28" s="5">
        <v>23</v>
      </c>
      <c r="C28" s="9"/>
      <c r="D28" s="9"/>
      <c r="E28" s="5"/>
      <c r="F28" s="22"/>
      <c r="G28" s="25"/>
    </row>
    <row r="29" spans="2:7" x14ac:dyDescent="0.35">
      <c r="B29" s="5">
        <v>24</v>
      </c>
      <c r="C29" s="9"/>
      <c r="D29" s="9"/>
      <c r="E29" s="5"/>
      <c r="F29" s="22"/>
      <c r="G29" s="25"/>
    </row>
    <row r="30" spans="2:7" x14ac:dyDescent="0.35">
      <c r="B30" s="5">
        <v>25</v>
      </c>
      <c r="C30" s="9"/>
      <c r="D30" s="9"/>
      <c r="E30" s="5"/>
      <c r="F30" s="22"/>
      <c r="G30" s="25"/>
    </row>
    <row r="31" spans="2:7" x14ac:dyDescent="0.35">
      <c r="B31" s="5">
        <v>26</v>
      </c>
      <c r="C31" s="9"/>
      <c r="D31" s="9"/>
      <c r="E31" s="5"/>
      <c r="F31" s="22"/>
      <c r="G31" s="25"/>
    </row>
    <row r="32" spans="2:7" x14ac:dyDescent="0.35">
      <c r="B32" s="5">
        <v>27</v>
      </c>
      <c r="C32" s="9"/>
      <c r="D32" s="9"/>
      <c r="E32" s="5"/>
      <c r="F32" s="22"/>
      <c r="G32" s="25"/>
    </row>
    <row r="33" spans="2:9" x14ac:dyDescent="0.35">
      <c r="B33" s="5">
        <v>28</v>
      </c>
      <c r="C33" s="9"/>
      <c r="D33" s="9"/>
      <c r="E33" s="5"/>
      <c r="F33" s="22"/>
      <c r="G33" s="25"/>
    </row>
    <row r="34" spans="2:9" x14ac:dyDescent="0.35">
      <c r="B34" s="5">
        <v>29</v>
      </c>
      <c r="C34" s="9"/>
      <c r="D34" s="9"/>
      <c r="E34" s="5"/>
      <c r="F34" s="22"/>
      <c r="G34" s="25"/>
    </row>
    <row r="35" spans="2:9" x14ac:dyDescent="0.35">
      <c r="B35" s="29" t="s">
        <v>22</v>
      </c>
      <c r="C35" s="104"/>
      <c r="D35" s="105"/>
      <c r="E35" s="105"/>
      <c r="F35" s="106"/>
      <c r="G35" s="30">
        <f>SUM(G6:G29)</f>
        <v>4.0199999999999996</v>
      </c>
      <c r="I35" s="37"/>
    </row>
  </sheetData>
  <mergeCells count="8">
    <mergeCell ref="M9:P9"/>
    <mergeCell ref="C35:F35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81AB-3CD3-4CB8-8835-EEA87ECA3970}">
  <dimension ref="B3:Q35"/>
  <sheetViews>
    <sheetView topLeftCell="A16" workbookViewId="0">
      <selection activeCell="F20" sqref="F20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13.1796875" style="1" bestFit="1" customWidth="1"/>
    <col min="14" max="14" width="14.6328125" style="1" bestFit="1" customWidth="1"/>
    <col min="15" max="15" width="19.6328125" style="1" bestFit="1" customWidth="1"/>
    <col min="16" max="16" width="14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52</v>
      </c>
      <c r="N5" s="8" t="s">
        <v>53</v>
      </c>
      <c r="O5" s="8" t="s">
        <v>54</v>
      </c>
      <c r="P5" s="10" t="s">
        <v>55</v>
      </c>
      <c r="Q5" s="10" t="s">
        <v>31</v>
      </c>
    </row>
    <row r="6" spans="2:17" x14ac:dyDescent="0.35">
      <c r="B6" s="5">
        <v>1</v>
      </c>
      <c r="C6" s="9">
        <v>0.77777777777777779</v>
      </c>
      <c r="D6" s="9">
        <v>0.80555555555555558</v>
      </c>
      <c r="E6" s="5" t="s">
        <v>5</v>
      </c>
      <c r="F6" s="22">
        <v>0.33</v>
      </c>
      <c r="G6" s="25">
        <f>I$6*(1-F6)</f>
        <v>4.0199999999999996</v>
      </c>
      <c r="I6" s="40">
        <v>6</v>
      </c>
      <c r="L6" s="5">
        <v>1</v>
      </c>
      <c r="M6" s="5">
        <v>0.13</v>
      </c>
      <c r="N6" s="5">
        <v>1.34</v>
      </c>
      <c r="O6" s="5">
        <v>1.01</v>
      </c>
      <c r="P6" s="28">
        <f>O6-M6</f>
        <v>0.88</v>
      </c>
      <c r="Q6" s="23">
        <f>(N6-P6)/N6</f>
        <v>0.34328358208955229</v>
      </c>
    </row>
    <row r="7" spans="2:17" x14ac:dyDescent="0.35">
      <c r="B7" s="5">
        <v>2</v>
      </c>
      <c r="C7" s="9">
        <v>0.8125</v>
      </c>
      <c r="D7" s="9">
        <v>0.85416666666666663</v>
      </c>
      <c r="E7" s="5" t="s">
        <v>5</v>
      </c>
      <c r="F7" s="22">
        <v>0.33</v>
      </c>
      <c r="G7" s="25">
        <f t="shared" ref="G7:G18" si="0">I$6*(1-F7)</f>
        <v>4.0199999999999996</v>
      </c>
      <c r="L7" s="5">
        <v>2</v>
      </c>
      <c r="M7" s="5">
        <v>0.14000000000000001</v>
      </c>
      <c r="N7" s="5">
        <v>1.395</v>
      </c>
      <c r="O7" s="25">
        <v>1.0900000000000001</v>
      </c>
      <c r="P7" s="28">
        <f>O7-M7</f>
        <v>0.95000000000000007</v>
      </c>
      <c r="Q7" s="23">
        <f t="shared" ref="Q7:Q8" si="1">(N7-P7)/N7</f>
        <v>0.31899641577060928</v>
      </c>
    </row>
    <row r="8" spans="2:17" x14ac:dyDescent="0.35">
      <c r="B8" s="5">
        <v>3</v>
      </c>
      <c r="C8" s="9">
        <v>0.86805555555555558</v>
      </c>
      <c r="D8" s="9">
        <v>0.89583333333333337</v>
      </c>
      <c r="E8" s="5" t="s">
        <v>5</v>
      </c>
      <c r="F8" s="22">
        <v>0.33</v>
      </c>
      <c r="G8" s="25">
        <f t="shared" si="0"/>
        <v>4.0199999999999996</v>
      </c>
      <c r="L8" s="5">
        <v>3</v>
      </c>
      <c r="M8" s="5">
        <v>0.13</v>
      </c>
      <c r="N8" s="5">
        <v>1.38</v>
      </c>
      <c r="O8" s="5">
        <v>1.04</v>
      </c>
      <c r="P8" s="28">
        <f t="shared" ref="P8" si="2">O8-M8</f>
        <v>0.91</v>
      </c>
      <c r="Q8" s="23">
        <f t="shared" si="1"/>
        <v>0.34057971014492744</v>
      </c>
    </row>
    <row r="9" spans="2:17" x14ac:dyDescent="0.35">
      <c r="B9" s="5">
        <v>4</v>
      </c>
      <c r="C9" s="9">
        <v>0.89930555555555558</v>
      </c>
      <c r="D9" s="9">
        <v>0.9375</v>
      </c>
      <c r="E9" s="5" t="s">
        <v>5</v>
      </c>
      <c r="F9" s="22">
        <v>0.33</v>
      </c>
      <c r="G9" s="25">
        <f t="shared" si="0"/>
        <v>4.0199999999999996</v>
      </c>
      <c r="L9" s="27" t="s">
        <v>32</v>
      </c>
      <c r="M9" s="93"/>
      <c r="N9" s="103"/>
      <c r="O9" s="103"/>
      <c r="P9" s="94"/>
      <c r="Q9" s="26">
        <f>AVERAGE(Q6:Q8)</f>
        <v>0.33428656933502965</v>
      </c>
    </row>
    <row r="10" spans="2:17" x14ac:dyDescent="0.35">
      <c r="B10" s="5">
        <v>5</v>
      </c>
      <c r="C10" s="9">
        <v>0.95138888888888884</v>
      </c>
      <c r="D10" s="9">
        <v>0.99305555555555558</v>
      </c>
      <c r="E10" s="5" t="s">
        <v>5</v>
      </c>
      <c r="F10" s="22">
        <v>0.33</v>
      </c>
      <c r="G10" s="25">
        <f t="shared" si="0"/>
        <v>4.0199999999999996</v>
      </c>
    </row>
    <row r="11" spans="2:17" x14ac:dyDescent="0.35">
      <c r="B11" s="5">
        <v>6</v>
      </c>
      <c r="C11" s="9">
        <v>3.472222222222222E-3</v>
      </c>
      <c r="D11" s="9">
        <v>3.125E-2</v>
      </c>
      <c r="E11" s="5" t="s">
        <v>5</v>
      </c>
      <c r="F11" s="22">
        <v>0.33</v>
      </c>
      <c r="G11" s="25">
        <f t="shared" si="0"/>
        <v>4.0199999999999996</v>
      </c>
    </row>
    <row r="12" spans="2:17" x14ac:dyDescent="0.35">
      <c r="B12" s="5">
        <v>7</v>
      </c>
      <c r="C12" s="9">
        <v>4.1666666666666664E-2</v>
      </c>
      <c r="D12" s="9">
        <v>7.6388888888888895E-2</v>
      </c>
      <c r="E12" s="5" t="s">
        <v>5</v>
      </c>
      <c r="F12" s="22">
        <v>0.33</v>
      </c>
      <c r="G12" s="25">
        <f t="shared" si="0"/>
        <v>4.0199999999999996</v>
      </c>
    </row>
    <row r="13" spans="2:17" x14ac:dyDescent="0.35">
      <c r="B13" s="5">
        <v>8</v>
      </c>
      <c r="C13" s="9">
        <v>8.3333333333333329E-2</v>
      </c>
      <c r="D13" s="9">
        <v>0.11458333333333333</v>
      </c>
      <c r="E13" s="5" t="s">
        <v>5</v>
      </c>
      <c r="F13" s="22">
        <v>0.33</v>
      </c>
      <c r="G13" s="25">
        <f t="shared" si="0"/>
        <v>4.0199999999999996</v>
      </c>
      <c r="I13" s="39"/>
    </row>
    <row r="14" spans="2:17" x14ac:dyDescent="0.35">
      <c r="B14" s="5">
        <v>9</v>
      </c>
      <c r="C14" s="9">
        <v>0.125</v>
      </c>
      <c r="D14" s="9">
        <v>0.15625</v>
      </c>
      <c r="E14" s="5" t="s">
        <v>5</v>
      </c>
      <c r="F14" s="22">
        <v>0.33</v>
      </c>
      <c r="G14" s="25">
        <f t="shared" si="0"/>
        <v>4.0199999999999996</v>
      </c>
    </row>
    <row r="15" spans="2:17" x14ac:dyDescent="0.35">
      <c r="B15" s="5">
        <v>10</v>
      </c>
      <c r="C15" s="9">
        <v>0.17083333333333334</v>
      </c>
      <c r="D15" s="9">
        <v>0.19097222222222221</v>
      </c>
      <c r="E15" s="5" t="s">
        <v>5</v>
      </c>
      <c r="F15" s="22">
        <v>0.33</v>
      </c>
      <c r="G15" s="25">
        <f>I$6*(1-F15)</f>
        <v>4.0199999999999996</v>
      </c>
    </row>
    <row r="16" spans="2:17" x14ac:dyDescent="0.35">
      <c r="B16" s="5">
        <v>11</v>
      </c>
      <c r="C16" s="9">
        <v>0.2013888888888889</v>
      </c>
      <c r="D16" s="9">
        <v>0.22569444444444445</v>
      </c>
      <c r="E16" s="5" t="s">
        <v>5</v>
      </c>
      <c r="F16" s="22">
        <v>0.33</v>
      </c>
      <c r="G16" s="25">
        <f t="shared" si="0"/>
        <v>4.0199999999999996</v>
      </c>
    </row>
    <row r="17" spans="2:7" x14ac:dyDescent="0.35">
      <c r="B17" s="5">
        <v>12</v>
      </c>
      <c r="C17" s="9">
        <v>0.2326388888888889</v>
      </c>
      <c r="D17" s="9">
        <v>0.25694444444444442</v>
      </c>
      <c r="E17" s="5" t="s">
        <v>5</v>
      </c>
      <c r="F17" s="22">
        <v>0.33</v>
      </c>
      <c r="G17" s="25">
        <f t="shared" si="0"/>
        <v>4.0199999999999996</v>
      </c>
    </row>
    <row r="18" spans="2:7" x14ac:dyDescent="0.35">
      <c r="B18" s="5">
        <v>13</v>
      </c>
      <c r="C18" s="9">
        <v>0.2638888888888889</v>
      </c>
      <c r="D18" s="9">
        <v>0.28472222222222221</v>
      </c>
      <c r="E18" s="5" t="s">
        <v>5</v>
      </c>
      <c r="F18" s="22">
        <v>0.33</v>
      </c>
      <c r="G18" s="25">
        <f t="shared" si="0"/>
        <v>4.0199999999999996</v>
      </c>
    </row>
    <row r="19" spans="2:7" x14ac:dyDescent="0.35">
      <c r="B19" s="5">
        <v>14</v>
      </c>
      <c r="C19" s="9"/>
      <c r="D19" s="9"/>
      <c r="E19" s="5"/>
      <c r="F19" s="22"/>
      <c r="G19" s="25"/>
    </row>
    <row r="20" spans="2:7" x14ac:dyDescent="0.35">
      <c r="B20" s="5">
        <v>15</v>
      </c>
      <c r="C20" s="9"/>
      <c r="D20" s="9"/>
      <c r="E20" s="5"/>
      <c r="F20" s="22"/>
      <c r="G20" s="25"/>
    </row>
    <row r="21" spans="2:7" x14ac:dyDescent="0.35">
      <c r="B21" s="5">
        <v>16</v>
      </c>
      <c r="C21" s="9"/>
      <c r="D21" s="9"/>
      <c r="E21" s="5"/>
      <c r="F21" s="22"/>
      <c r="G21" s="25"/>
    </row>
    <row r="22" spans="2:7" x14ac:dyDescent="0.35">
      <c r="B22" s="5">
        <v>17</v>
      </c>
      <c r="C22" s="9"/>
      <c r="D22" s="9"/>
      <c r="E22" s="5"/>
      <c r="F22" s="22"/>
      <c r="G22" s="25"/>
    </row>
    <row r="23" spans="2:7" x14ac:dyDescent="0.35">
      <c r="B23" s="5">
        <v>18</v>
      </c>
      <c r="C23" s="9"/>
      <c r="D23" s="9"/>
      <c r="E23" s="5"/>
      <c r="F23" s="22"/>
      <c r="G23" s="25"/>
    </row>
    <row r="24" spans="2:7" x14ac:dyDescent="0.35">
      <c r="B24" s="5">
        <v>19</v>
      </c>
      <c r="C24" s="9"/>
      <c r="D24" s="9"/>
      <c r="E24" s="5"/>
      <c r="F24" s="22"/>
      <c r="G24" s="25"/>
    </row>
    <row r="25" spans="2:7" x14ac:dyDescent="0.35">
      <c r="B25" s="5">
        <v>20</v>
      </c>
      <c r="C25" s="9"/>
      <c r="D25" s="9"/>
      <c r="E25" s="5"/>
      <c r="F25" s="22"/>
      <c r="G25" s="25"/>
    </row>
    <row r="26" spans="2:7" x14ac:dyDescent="0.35">
      <c r="B26" s="5">
        <v>21</v>
      </c>
      <c r="C26" s="9"/>
      <c r="D26" s="9"/>
      <c r="E26" s="5"/>
      <c r="F26" s="22"/>
      <c r="G26" s="25"/>
    </row>
    <row r="27" spans="2:7" x14ac:dyDescent="0.35">
      <c r="B27" s="5">
        <v>22</v>
      </c>
      <c r="C27" s="9"/>
      <c r="D27" s="9"/>
      <c r="E27" s="5"/>
      <c r="F27" s="22"/>
      <c r="G27" s="25"/>
    </row>
    <row r="28" spans="2:7" x14ac:dyDescent="0.35">
      <c r="B28" s="5">
        <v>23</v>
      </c>
      <c r="C28" s="9"/>
      <c r="D28" s="9"/>
      <c r="E28" s="5"/>
      <c r="F28" s="22"/>
      <c r="G28" s="25"/>
    </row>
    <row r="29" spans="2:7" x14ac:dyDescent="0.35">
      <c r="B29" s="5">
        <v>24</v>
      </c>
      <c r="C29" s="9"/>
      <c r="D29" s="9"/>
      <c r="E29" s="5"/>
      <c r="F29" s="22"/>
      <c r="G29" s="25"/>
    </row>
    <row r="30" spans="2:7" x14ac:dyDescent="0.35">
      <c r="B30" s="5">
        <v>25</v>
      </c>
      <c r="C30" s="9"/>
      <c r="D30" s="9"/>
      <c r="E30" s="5"/>
      <c r="F30" s="22"/>
      <c r="G30" s="25"/>
    </row>
    <row r="31" spans="2:7" x14ac:dyDescent="0.35">
      <c r="B31" s="5">
        <v>26</v>
      </c>
      <c r="C31" s="9"/>
      <c r="D31" s="9"/>
      <c r="E31" s="5"/>
      <c r="F31" s="22"/>
      <c r="G31" s="25"/>
    </row>
    <row r="32" spans="2:7" x14ac:dyDescent="0.35">
      <c r="B32" s="5">
        <v>27</v>
      </c>
      <c r="C32" s="9"/>
      <c r="D32" s="9"/>
      <c r="E32" s="5"/>
      <c r="F32" s="22"/>
      <c r="G32" s="25"/>
    </row>
    <row r="33" spans="2:9" x14ac:dyDescent="0.35">
      <c r="B33" s="5">
        <v>28</v>
      </c>
      <c r="C33" s="9"/>
      <c r="D33" s="9"/>
      <c r="E33" s="5"/>
      <c r="F33" s="22"/>
      <c r="G33" s="25"/>
    </row>
    <row r="34" spans="2:9" x14ac:dyDescent="0.35">
      <c r="B34" s="5">
        <v>29</v>
      </c>
      <c r="C34" s="9"/>
      <c r="D34" s="9"/>
      <c r="E34" s="5"/>
      <c r="F34" s="22"/>
      <c r="G34" s="25"/>
    </row>
    <row r="35" spans="2:9" x14ac:dyDescent="0.35">
      <c r="B35" s="29" t="s">
        <v>22</v>
      </c>
      <c r="C35" s="104"/>
      <c r="D35" s="105"/>
      <c r="E35" s="105"/>
      <c r="F35" s="106"/>
      <c r="G35" s="30">
        <f>SUM(G6:G29)</f>
        <v>52.259999999999977</v>
      </c>
      <c r="I35" s="37"/>
    </row>
  </sheetData>
  <mergeCells count="8">
    <mergeCell ref="M9:P9"/>
    <mergeCell ref="C35:F35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516B-A05E-461E-9BB7-1467930E27F1}">
  <dimension ref="B3:Q35"/>
  <sheetViews>
    <sheetView workbookViewId="0">
      <selection activeCell="B4" sqref="A1:XFD1048576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13.1796875" style="1" bestFit="1" customWidth="1"/>
    <col min="14" max="14" width="14.6328125" style="1" bestFit="1" customWidth="1"/>
    <col min="15" max="15" width="19.6328125" style="1" bestFit="1" customWidth="1"/>
    <col min="16" max="16" width="14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52</v>
      </c>
      <c r="N5" s="8" t="s">
        <v>53</v>
      </c>
      <c r="O5" s="8" t="s">
        <v>54</v>
      </c>
      <c r="P5" s="10" t="s">
        <v>55</v>
      </c>
      <c r="Q5" s="10" t="s">
        <v>31</v>
      </c>
    </row>
    <row r="6" spans="2:17" x14ac:dyDescent="0.35">
      <c r="B6" s="5">
        <v>1</v>
      </c>
      <c r="C6" s="9">
        <v>0.29166666666666669</v>
      </c>
      <c r="D6" s="9">
        <v>0.3125</v>
      </c>
      <c r="E6" s="5" t="s">
        <v>5</v>
      </c>
      <c r="F6" s="22">
        <v>0.33</v>
      </c>
      <c r="G6" s="25">
        <f>I$6*(1-F6)</f>
        <v>4.0199999999999996</v>
      </c>
      <c r="I6" s="40">
        <v>6</v>
      </c>
      <c r="L6" s="5">
        <v>1</v>
      </c>
      <c r="M6" s="5">
        <v>0.13</v>
      </c>
      <c r="N6" s="5">
        <v>1.34</v>
      </c>
      <c r="O6" s="5">
        <v>1.01</v>
      </c>
      <c r="P6" s="28">
        <f>O6-M6</f>
        <v>0.88</v>
      </c>
      <c r="Q6" s="23">
        <f>(N6-P6)/N6</f>
        <v>0.34328358208955229</v>
      </c>
    </row>
    <row r="7" spans="2:17" x14ac:dyDescent="0.35">
      <c r="B7" s="5">
        <v>2</v>
      </c>
      <c r="C7" s="9">
        <v>0.3263888888888889</v>
      </c>
      <c r="D7" s="9">
        <v>0.35069444444444442</v>
      </c>
      <c r="E7" s="5" t="s">
        <v>5</v>
      </c>
      <c r="F7" s="22">
        <v>0.33</v>
      </c>
      <c r="G7" s="25">
        <f t="shared" ref="G7:G34" si="0">I$6*(1-F7)</f>
        <v>4.0199999999999996</v>
      </c>
      <c r="L7" s="5">
        <v>2</v>
      </c>
      <c r="M7" s="5">
        <v>0.14000000000000001</v>
      </c>
      <c r="N7" s="5">
        <v>1.395</v>
      </c>
      <c r="O7" s="25">
        <v>1.0900000000000001</v>
      </c>
      <c r="P7" s="28">
        <f>O7-M7</f>
        <v>0.95000000000000007</v>
      </c>
      <c r="Q7" s="23">
        <f t="shared" ref="Q7:Q8" si="1">(N7-P7)/N7</f>
        <v>0.31899641577060928</v>
      </c>
    </row>
    <row r="8" spans="2:17" x14ac:dyDescent="0.35">
      <c r="B8" s="5">
        <v>3</v>
      </c>
      <c r="C8" s="9">
        <v>0.3576388888888889</v>
      </c>
      <c r="D8" s="9">
        <v>0.39583333333333331</v>
      </c>
      <c r="E8" s="5" t="s">
        <v>5</v>
      </c>
      <c r="F8" s="22">
        <v>0.33</v>
      </c>
      <c r="G8" s="25">
        <f t="shared" si="0"/>
        <v>4.0199999999999996</v>
      </c>
      <c r="L8" s="5">
        <v>3</v>
      </c>
      <c r="M8" s="5">
        <v>0.13</v>
      </c>
      <c r="N8" s="5">
        <v>1.38</v>
      </c>
      <c r="O8" s="5">
        <v>1.04</v>
      </c>
      <c r="P8" s="28">
        <f t="shared" ref="P8" si="2">O8-M8</f>
        <v>0.91</v>
      </c>
      <c r="Q8" s="23">
        <f t="shared" si="1"/>
        <v>0.34057971014492744</v>
      </c>
    </row>
    <row r="9" spans="2:17" x14ac:dyDescent="0.35">
      <c r="B9" s="5">
        <v>4</v>
      </c>
      <c r="C9" s="9">
        <v>0.40277777777777779</v>
      </c>
      <c r="D9" s="9">
        <v>0.43055555555555558</v>
      </c>
      <c r="E9" s="5" t="s">
        <v>5</v>
      </c>
      <c r="F9" s="22">
        <v>0.33</v>
      </c>
      <c r="G9" s="25">
        <f t="shared" si="0"/>
        <v>4.0199999999999996</v>
      </c>
      <c r="L9" s="27" t="s">
        <v>32</v>
      </c>
      <c r="M9" s="93"/>
      <c r="N9" s="103"/>
      <c r="O9" s="103"/>
      <c r="P9" s="94"/>
      <c r="Q9" s="26">
        <f>AVERAGE(Q6:Q8)</f>
        <v>0.33428656933502965</v>
      </c>
    </row>
    <row r="10" spans="2:17" x14ac:dyDescent="0.35">
      <c r="B10" s="5">
        <v>5</v>
      </c>
      <c r="C10" s="9">
        <v>0.4375</v>
      </c>
      <c r="D10" s="9">
        <v>0.45833333333333331</v>
      </c>
      <c r="E10" s="5" t="s">
        <v>5</v>
      </c>
      <c r="F10" s="22">
        <v>0.33</v>
      </c>
      <c r="G10" s="25">
        <f t="shared" si="0"/>
        <v>4.0199999999999996</v>
      </c>
    </row>
    <row r="11" spans="2:17" x14ac:dyDescent="0.35">
      <c r="B11" s="5">
        <v>6</v>
      </c>
      <c r="C11" s="9">
        <v>0.46527777777777779</v>
      </c>
      <c r="D11" s="9">
        <v>0.5</v>
      </c>
      <c r="E11" s="5" t="s">
        <v>5</v>
      </c>
      <c r="F11" s="22">
        <v>0.33</v>
      </c>
      <c r="G11" s="25">
        <f t="shared" si="0"/>
        <v>4.0199999999999996</v>
      </c>
    </row>
    <row r="12" spans="2:17" x14ac:dyDescent="0.35">
      <c r="B12" s="5">
        <v>7</v>
      </c>
      <c r="C12" s="9">
        <v>0.51736111111111116</v>
      </c>
      <c r="D12" s="9">
        <v>0.55208333333333337</v>
      </c>
      <c r="E12" s="5" t="s">
        <v>5</v>
      </c>
      <c r="F12" s="22">
        <v>0.33</v>
      </c>
      <c r="G12" s="25">
        <f t="shared" si="0"/>
        <v>4.0199999999999996</v>
      </c>
    </row>
    <row r="13" spans="2:17" x14ac:dyDescent="0.35">
      <c r="B13" s="5">
        <v>8</v>
      </c>
      <c r="C13" s="9">
        <v>0.5625</v>
      </c>
      <c r="D13" s="9">
        <v>0.58819444444444446</v>
      </c>
      <c r="E13" s="5" t="s">
        <v>5</v>
      </c>
      <c r="F13" s="22">
        <v>0.33</v>
      </c>
      <c r="G13" s="25">
        <f t="shared" si="0"/>
        <v>4.0199999999999996</v>
      </c>
      <c r="I13" s="39"/>
    </row>
    <row r="14" spans="2:17" x14ac:dyDescent="0.35">
      <c r="B14" s="5">
        <v>9</v>
      </c>
      <c r="C14" s="9">
        <v>0.59027777777777779</v>
      </c>
      <c r="D14" s="9">
        <v>0.61597222222222225</v>
      </c>
      <c r="E14" s="5" t="s">
        <v>5</v>
      </c>
      <c r="F14" s="22">
        <v>0.33</v>
      </c>
      <c r="G14" s="25">
        <f t="shared" si="0"/>
        <v>4.0199999999999996</v>
      </c>
    </row>
    <row r="15" spans="2:17" x14ac:dyDescent="0.35">
      <c r="B15" s="5">
        <v>10</v>
      </c>
      <c r="C15" s="9">
        <v>0.625</v>
      </c>
      <c r="D15" s="9">
        <v>0.64444444444444449</v>
      </c>
      <c r="E15" s="5" t="s">
        <v>5</v>
      </c>
      <c r="F15" s="22">
        <v>0.33</v>
      </c>
      <c r="G15" s="25">
        <f>I$6*(1-F15)</f>
        <v>4.0199999999999996</v>
      </c>
    </row>
    <row r="16" spans="2:17" x14ac:dyDescent="0.35">
      <c r="B16" s="5">
        <v>11</v>
      </c>
      <c r="C16" s="9">
        <v>0.65416666666666667</v>
      </c>
      <c r="D16" s="9">
        <v>0.67777777777777781</v>
      </c>
      <c r="E16" s="5" t="s">
        <v>5</v>
      </c>
      <c r="F16" s="22">
        <v>0.33</v>
      </c>
      <c r="G16" s="25">
        <f t="shared" si="0"/>
        <v>4.0199999999999996</v>
      </c>
    </row>
    <row r="17" spans="2:7" x14ac:dyDescent="0.35">
      <c r="B17" s="5">
        <v>12</v>
      </c>
      <c r="C17" s="9">
        <v>0.6875</v>
      </c>
      <c r="D17" s="9">
        <v>0.71111111111111114</v>
      </c>
      <c r="E17" s="5" t="s">
        <v>5</v>
      </c>
      <c r="F17" s="22">
        <v>0.33</v>
      </c>
      <c r="G17" s="25">
        <f t="shared" si="0"/>
        <v>4.0199999999999996</v>
      </c>
    </row>
    <row r="18" spans="2:7" x14ac:dyDescent="0.35">
      <c r="B18" s="5">
        <v>13</v>
      </c>
      <c r="C18" s="9">
        <v>0.71875</v>
      </c>
      <c r="D18" s="9">
        <v>0.75416666666666665</v>
      </c>
      <c r="E18" s="5" t="s">
        <v>5</v>
      </c>
      <c r="F18" s="22">
        <v>0.33</v>
      </c>
      <c r="G18" s="25">
        <f t="shared" si="0"/>
        <v>4.0199999999999996</v>
      </c>
    </row>
    <row r="19" spans="2:7" x14ac:dyDescent="0.35">
      <c r="B19" s="5">
        <v>14</v>
      </c>
      <c r="C19" s="9">
        <v>0.76527777777777772</v>
      </c>
      <c r="D19" s="9">
        <v>0.79166666666666663</v>
      </c>
      <c r="E19" s="5" t="s">
        <v>5</v>
      </c>
      <c r="F19" s="22">
        <v>0.33</v>
      </c>
      <c r="G19" s="25">
        <f t="shared" si="0"/>
        <v>4.0199999999999996</v>
      </c>
    </row>
    <row r="20" spans="2:7" x14ac:dyDescent="0.35">
      <c r="B20" s="5">
        <v>15</v>
      </c>
      <c r="C20" s="9">
        <v>0.79861111111111116</v>
      </c>
      <c r="D20" s="9">
        <v>0.82430555555555551</v>
      </c>
      <c r="E20" s="5" t="s">
        <v>5</v>
      </c>
      <c r="F20" s="22">
        <v>0.33</v>
      </c>
      <c r="G20" s="25">
        <f t="shared" si="0"/>
        <v>4.0199999999999996</v>
      </c>
    </row>
    <row r="21" spans="2:7" x14ac:dyDescent="0.35">
      <c r="B21" s="5">
        <v>16</v>
      </c>
      <c r="C21" s="9">
        <v>0.83333333333333337</v>
      </c>
      <c r="D21" s="9">
        <v>0.85763888888888884</v>
      </c>
      <c r="E21" s="5" t="s">
        <v>5</v>
      </c>
      <c r="F21" s="22">
        <v>0.33</v>
      </c>
      <c r="G21" s="25">
        <f t="shared" si="0"/>
        <v>4.0199999999999996</v>
      </c>
    </row>
    <row r="22" spans="2:7" x14ac:dyDescent="0.35">
      <c r="B22" s="5">
        <v>17</v>
      </c>
      <c r="C22" s="9">
        <v>0.86805555555555558</v>
      </c>
      <c r="D22" s="9">
        <v>0.89236111111111116</v>
      </c>
      <c r="E22" s="5" t="s">
        <v>5</v>
      </c>
      <c r="F22" s="22">
        <v>0.33</v>
      </c>
      <c r="G22" s="25">
        <f t="shared" si="0"/>
        <v>4.0199999999999996</v>
      </c>
    </row>
    <row r="23" spans="2:7" x14ac:dyDescent="0.35">
      <c r="B23" s="5">
        <v>18</v>
      </c>
      <c r="C23" s="9">
        <v>0.89930555555555558</v>
      </c>
      <c r="D23" s="9">
        <v>0.92013888888888884</v>
      </c>
      <c r="E23" s="5" t="s">
        <v>5</v>
      </c>
      <c r="F23" s="22">
        <v>0.33</v>
      </c>
      <c r="G23" s="25">
        <f t="shared" si="0"/>
        <v>4.0199999999999996</v>
      </c>
    </row>
    <row r="24" spans="2:7" x14ac:dyDescent="0.35">
      <c r="B24" s="5">
        <v>19</v>
      </c>
      <c r="C24" s="9">
        <v>0.92708333333333337</v>
      </c>
      <c r="D24" s="9">
        <v>0.95486111111111116</v>
      </c>
      <c r="E24" s="5" t="s">
        <v>5</v>
      </c>
      <c r="F24" s="22">
        <v>0.33</v>
      </c>
      <c r="G24" s="25">
        <f t="shared" si="0"/>
        <v>4.0199999999999996</v>
      </c>
    </row>
    <row r="25" spans="2:7" x14ac:dyDescent="0.35">
      <c r="B25" s="5">
        <v>20</v>
      </c>
      <c r="C25" s="9">
        <v>0.96180555555555558</v>
      </c>
      <c r="D25" s="9">
        <v>0.98611111111111116</v>
      </c>
      <c r="E25" s="5" t="s">
        <v>5</v>
      </c>
      <c r="F25" s="22">
        <v>0.33</v>
      </c>
      <c r="G25" s="25">
        <f t="shared" si="0"/>
        <v>4.0199999999999996</v>
      </c>
    </row>
    <row r="26" spans="2:7" x14ac:dyDescent="0.35">
      <c r="B26" s="5">
        <v>21</v>
      </c>
      <c r="C26" s="9">
        <v>0.98958333333333337</v>
      </c>
      <c r="D26" s="9">
        <v>1.5277777777777777E-2</v>
      </c>
      <c r="E26" s="5" t="s">
        <v>5</v>
      </c>
      <c r="F26" s="22">
        <v>0.33</v>
      </c>
      <c r="G26" s="25">
        <f t="shared" si="0"/>
        <v>4.0199999999999996</v>
      </c>
    </row>
    <row r="27" spans="2:7" x14ac:dyDescent="0.35">
      <c r="B27" s="5">
        <v>22</v>
      </c>
      <c r="C27" s="9">
        <v>1.7361111111111112E-2</v>
      </c>
      <c r="D27" s="9">
        <v>3.8194444444444448E-2</v>
      </c>
      <c r="E27" s="5" t="s">
        <v>5</v>
      </c>
      <c r="F27" s="22">
        <v>0.33</v>
      </c>
      <c r="G27" s="25">
        <f t="shared" si="0"/>
        <v>4.0199999999999996</v>
      </c>
    </row>
    <row r="28" spans="2:7" x14ac:dyDescent="0.35">
      <c r="B28" s="5">
        <v>23</v>
      </c>
      <c r="C28" s="9">
        <v>4.5138888888888888E-2</v>
      </c>
      <c r="D28" s="9">
        <v>6.9444444444444448E-2</v>
      </c>
      <c r="E28" s="5" t="s">
        <v>5</v>
      </c>
      <c r="F28" s="22">
        <v>0.33</v>
      </c>
      <c r="G28" s="25">
        <f t="shared" si="0"/>
        <v>4.0199999999999996</v>
      </c>
    </row>
    <row r="29" spans="2:7" x14ac:dyDescent="0.35">
      <c r="B29" s="5">
        <v>24</v>
      </c>
      <c r="C29" s="9">
        <v>7.6388888888888895E-2</v>
      </c>
      <c r="D29" s="9">
        <v>0.1076388888888889</v>
      </c>
      <c r="E29" s="5" t="s">
        <v>5</v>
      </c>
      <c r="F29" s="22">
        <v>0.33</v>
      </c>
      <c r="G29" s="25">
        <f t="shared" si="0"/>
        <v>4.0199999999999996</v>
      </c>
    </row>
    <row r="30" spans="2:7" x14ac:dyDescent="0.35">
      <c r="B30" s="5">
        <v>25</v>
      </c>
      <c r="C30" s="9">
        <v>0.11319444444444444</v>
      </c>
      <c r="D30" s="9">
        <v>0.1423611111111111</v>
      </c>
      <c r="E30" s="5" t="s">
        <v>5</v>
      </c>
      <c r="F30" s="22">
        <v>0.33</v>
      </c>
      <c r="G30" s="25">
        <f t="shared" si="0"/>
        <v>4.0199999999999996</v>
      </c>
    </row>
    <row r="31" spans="2:7" x14ac:dyDescent="0.35">
      <c r="B31" s="5">
        <v>26</v>
      </c>
      <c r="C31" s="9">
        <v>0.14583333333333334</v>
      </c>
      <c r="D31" s="9">
        <v>0.1701388888888889</v>
      </c>
      <c r="E31" s="5" t="s">
        <v>5</v>
      </c>
      <c r="F31" s="22">
        <v>0.33</v>
      </c>
      <c r="G31" s="25">
        <f t="shared" si="0"/>
        <v>4.0199999999999996</v>
      </c>
    </row>
    <row r="32" spans="2:7" x14ac:dyDescent="0.35">
      <c r="B32" s="5">
        <v>27</v>
      </c>
      <c r="C32" s="9">
        <v>0.18055555555555555</v>
      </c>
      <c r="D32" s="9">
        <v>0.2048611111111111</v>
      </c>
      <c r="E32" s="5" t="s">
        <v>5</v>
      </c>
      <c r="F32" s="22">
        <v>0.33</v>
      </c>
      <c r="G32" s="25">
        <f t="shared" si="0"/>
        <v>4.0199999999999996</v>
      </c>
    </row>
    <row r="33" spans="2:9" x14ac:dyDescent="0.35">
      <c r="B33" s="5">
        <v>28</v>
      </c>
      <c r="C33" s="9">
        <v>0.21180555555555555</v>
      </c>
      <c r="D33" s="9">
        <v>0.2326388888888889</v>
      </c>
      <c r="E33" s="5" t="s">
        <v>5</v>
      </c>
      <c r="F33" s="22">
        <v>0.33</v>
      </c>
      <c r="G33" s="25">
        <f t="shared" si="0"/>
        <v>4.0199999999999996</v>
      </c>
    </row>
    <row r="34" spans="2:9" x14ac:dyDescent="0.35">
      <c r="B34" s="5">
        <v>29</v>
      </c>
      <c r="C34" s="9">
        <v>0.24097222222222223</v>
      </c>
      <c r="D34" s="9">
        <v>0.27083333333333331</v>
      </c>
      <c r="E34" s="5" t="s">
        <v>5</v>
      </c>
      <c r="F34" s="22">
        <v>0.33</v>
      </c>
      <c r="G34" s="25">
        <f t="shared" si="0"/>
        <v>4.0199999999999996</v>
      </c>
    </row>
    <row r="35" spans="2:9" x14ac:dyDescent="0.35">
      <c r="B35" s="29" t="s">
        <v>22</v>
      </c>
      <c r="C35" s="104"/>
      <c r="D35" s="105"/>
      <c r="E35" s="105"/>
      <c r="F35" s="106"/>
      <c r="G35" s="30">
        <f>SUM(G6:G29)</f>
        <v>96.479999999999933</v>
      </c>
      <c r="I35" s="37"/>
    </row>
  </sheetData>
  <mergeCells count="8">
    <mergeCell ref="M9:P9"/>
    <mergeCell ref="C35:F35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3101-A2BC-496B-AF1E-37BE6E7E9DB8}">
  <dimension ref="B3:Q35"/>
  <sheetViews>
    <sheetView workbookViewId="0">
      <selection activeCell="G15" sqref="G15"/>
    </sheetView>
  </sheetViews>
  <sheetFormatPr defaultRowHeight="14.5" x14ac:dyDescent="0.35"/>
  <cols>
    <col min="1" max="2" width="8.7265625" style="1"/>
    <col min="3" max="3" width="14" style="1" customWidth="1"/>
    <col min="4" max="4" width="13.54296875" style="1" customWidth="1"/>
    <col min="5" max="5" width="13.54296875" style="1" bestFit="1" customWidth="1"/>
    <col min="6" max="6" width="10.36328125" style="1" bestFit="1" customWidth="1"/>
    <col min="7" max="7" width="22" style="1" bestFit="1" customWidth="1"/>
    <col min="8" max="8" width="8.7265625" style="1"/>
    <col min="9" max="9" width="12.36328125" style="1" bestFit="1" customWidth="1"/>
    <col min="10" max="12" width="8.7265625" style="1"/>
    <col min="13" max="13" width="13.1796875" style="1" bestFit="1" customWidth="1"/>
    <col min="14" max="14" width="14.6328125" style="1" bestFit="1" customWidth="1"/>
    <col min="15" max="15" width="19.6328125" style="1" bestFit="1" customWidth="1"/>
    <col min="16" max="16" width="14" style="1" bestFit="1" customWidth="1"/>
    <col min="17" max="17" width="9.81640625" style="1" bestFit="1" customWidth="1"/>
    <col min="18" max="16384" width="8.7265625" style="1"/>
  </cols>
  <sheetData>
    <row r="3" spans="2:17" x14ac:dyDescent="0.35">
      <c r="B3" s="1" t="s">
        <v>8</v>
      </c>
    </row>
    <row r="4" spans="2:17" x14ac:dyDescent="0.35">
      <c r="B4" s="84" t="s">
        <v>0</v>
      </c>
      <c r="C4" s="85" t="s">
        <v>1</v>
      </c>
      <c r="D4" s="85"/>
      <c r="E4" s="86" t="s">
        <v>4</v>
      </c>
      <c r="F4" s="86" t="s">
        <v>6</v>
      </c>
      <c r="G4" s="84" t="s">
        <v>9</v>
      </c>
      <c r="L4" s="101" t="s">
        <v>28</v>
      </c>
      <c r="M4" s="102"/>
      <c r="N4" s="102"/>
      <c r="O4" s="102"/>
      <c r="P4" s="102"/>
      <c r="Q4" s="102"/>
    </row>
    <row r="5" spans="2:17" x14ac:dyDescent="0.35">
      <c r="B5" s="84"/>
      <c r="C5" s="8" t="s">
        <v>2</v>
      </c>
      <c r="D5" s="8" t="s">
        <v>3</v>
      </c>
      <c r="E5" s="87"/>
      <c r="F5" s="87"/>
      <c r="G5" s="84"/>
      <c r="I5" s="27" t="s">
        <v>33</v>
      </c>
      <c r="L5" s="8" t="s">
        <v>0</v>
      </c>
      <c r="M5" s="8" t="s">
        <v>52</v>
      </c>
      <c r="N5" s="8" t="s">
        <v>53</v>
      </c>
      <c r="O5" s="8" t="s">
        <v>54</v>
      </c>
      <c r="P5" s="10" t="s">
        <v>55</v>
      </c>
      <c r="Q5" s="10" t="s">
        <v>31</v>
      </c>
    </row>
    <row r="6" spans="2:17" x14ac:dyDescent="0.35">
      <c r="B6" s="5">
        <v>1</v>
      </c>
      <c r="C6" s="9">
        <v>0.29166666666666669</v>
      </c>
      <c r="D6" s="9">
        <v>0.3125</v>
      </c>
      <c r="E6" s="5" t="s">
        <v>5</v>
      </c>
      <c r="F6" s="22">
        <v>0.33</v>
      </c>
      <c r="G6" s="25">
        <f>I$6*(1-F6)</f>
        <v>4.0199999999999996</v>
      </c>
      <c r="I6" s="40">
        <v>6</v>
      </c>
      <c r="L6" s="5">
        <v>1</v>
      </c>
      <c r="M6" s="5">
        <v>0.13</v>
      </c>
      <c r="N6" s="5">
        <v>1.34</v>
      </c>
      <c r="O6" s="5">
        <v>1.01</v>
      </c>
      <c r="P6" s="28">
        <f>O6-M6</f>
        <v>0.88</v>
      </c>
      <c r="Q6" s="23">
        <f>(N6-P6)/N6</f>
        <v>0.34328358208955229</v>
      </c>
    </row>
    <row r="7" spans="2:17" x14ac:dyDescent="0.35">
      <c r="B7" s="5">
        <v>2</v>
      </c>
      <c r="C7" s="9">
        <v>0.3263888888888889</v>
      </c>
      <c r="D7" s="9">
        <v>0.35069444444444442</v>
      </c>
      <c r="E7" s="5" t="s">
        <v>5</v>
      </c>
      <c r="F7" s="22">
        <v>0.33</v>
      </c>
      <c r="G7" s="25">
        <f t="shared" ref="G7:G34" si="0">I$6*(1-F7)</f>
        <v>4.0199999999999996</v>
      </c>
      <c r="L7" s="5">
        <v>2</v>
      </c>
      <c r="M7" s="5">
        <v>0.14000000000000001</v>
      </c>
      <c r="N7" s="5">
        <v>1.395</v>
      </c>
      <c r="O7" s="25">
        <v>1.0900000000000001</v>
      </c>
      <c r="P7" s="28">
        <f>O7-M7</f>
        <v>0.95000000000000007</v>
      </c>
      <c r="Q7" s="23">
        <f t="shared" ref="Q7:Q8" si="1">(N7-P7)/N7</f>
        <v>0.31899641577060928</v>
      </c>
    </row>
    <row r="8" spans="2:17" x14ac:dyDescent="0.35">
      <c r="B8" s="5">
        <v>3</v>
      </c>
      <c r="C8" s="9">
        <v>0.3576388888888889</v>
      </c>
      <c r="D8" s="9">
        <v>0.39583333333333331</v>
      </c>
      <c r="E8" s="5" t="s">
        <v>5</v>
      </c>
      <c r="F8" s="22">
        <v>0.33</v>
      </c>
      <c r="G8" s="25">
        <f t="shared" si="0"/>
        <v>4.0199999999999996</v>
      </c>
      <c r="L8" s="5">
        <v>3</v>
      </c>
      <c r="M8" s="5">
        <v>0.13</v>
      </c>
      <c r="N8" s="5">
        <v>1.38</v>
      </c>
      <c r="O8" s="5">
        <v>1.04</v>
      </c>
      <c r="P8" s="28">
        <f t="shared" ref="P8" si="2">O8-M8</f>
        <v>0.91</v>
      </c>
      <c r="Q8" s="23">
        <f t="shared" si="1"/>
        <v>0.34057971014492744</v>
      </c>
    </row>
    <row r="9" spans="2:17" x14ac:dyDescent="0.35">
      <c r="B9" s="5">
        <v>4</v>
      </c>
      <c r="C9" s="9">
        <v>0.40277777777777779</v>
      </c>
      <c r="D9" s="9">
        <v>0.43055555555555558</v>
      </c>
      <c r="E9" s="5" t="s">
        <v>5</v>
      </c>
      <c r="F9" s="22">
        <v>0.33</v>
      </c>
      <c r="G9" s="25">
        <f t="shared" si="0"/>
        <v>4.0199999999999996</v>
      </c>
      <c r="L9" s="27" t="s">
        <v>32</v>
      </c>
      <c r="M9" s="93"/>
      <c r="N9" s="103"/>
      <c r="O9" s="103"/>
      <c r="P9" s="94"/>
      <c r="Q9" s="26">
        <f>AVERAGE(Q6:Q8)</f>
        <v>0.33428656933502965</v>
      </c>
    </row>
    <row r="10" spans="2:17" x14ac:dyDescent="0.35">
      <c r="B10" s="5">
        <v>5</v>
      </c>
      <c r="C10" s="9">
        <v>0.4375</v>
      </c>
      <c r="D10" s="9">
        <v>0.45833333333333331</v>
      </c>
      <c r="E10" s="5" t="s">
        <v>5</v>
      </c>
      <c r="F10" s="22">
        <v>0.33</v>
      </c>
      <c r="G10" s="25">
        <f t="shared" si="0"/>
        <v>4.0199999999999996</v>
      </c>
    </row>
    <row r="11" spans="2:17" x14ac:dyDescent="0.35">
      <c r="B11" s="5">
        <v>6</v>
      </c>
      <c r="C11" s="9">
        <v>0.46527777777777779</v>
      </c>
      <c r="D11" s="9">
        <v>0.5</v>
      </c>
      <c r="E11" s="5" t="s">
        <v>5</v>
      </c>
      <c r="F11" s="22">
        <v>0.33</v>
      </c>
      <c r="G11" s="25">
        <f t="shared" si="0"/>
        <v>4.0199999999999996</v>
      </c>
    </row>
    <row r="12" spans="2:17" x14ac:dyDescent="0.35">
      <c r="B12" s="5">
        <v>7</v>
      </c>
      <c r="C12" s="9">
        <v>0.51736111111111116</v>
      </c>
      <c r="D12" s="9">
        <v>0.55208333333333337</v>
      </c>
      <c r="E12" s="5" t="s">
        <v>5</v>
      </c>
      <c r="F12" s="22">
        <v>0.33</v>
      </c>
      <c r="G12" s="25">
        <f t="shared" si="0"/>
        <v>4.0199999999999996</v>
      </c>
    </row>
    <row r="13" spans="2:17" x14ac:dyDescent="0.35">
      <c r="B13" s="5">
        <v>8</v>
      </c>
      <c r="C13" s="9">
        <v>0.5625</v>
      </c>
      <c r="D13" s="9">
        <v>0.58819444444444446</v>
      </c>
      <c r="E13" s="5" t="s">
        <v>5</v>
      </c>
      <c r="F13" s="22">
        <v>0.33</v>
      </c>
      <c r="G13" s="25">
        <f t="shared" si="0"/>
        <v>4.0199999999999996</v>
      </c>
      <c r="I13" s="39"/>
    </row>
    <row r="14" spans="2:17" x14ac:dyDescent="0.35">
      <c r="B14" s="5">
        <v>9</v>
      </c>
      <c r="C14" s="9">
        <v>0.59027777777777779</v>
      </c>
      <c r="D14" s="9">
        <v>0.61597222222222225</v>
      </c>
      <c r="E14" s="5" t="s">
        <v>5</v>
      </c>
      <c r="F14" s="22">
        <v>0.33</v>
      </c>
      <c r="G14" s="25">
        <f t="shared" si="0"/>
        <v>4.0199999999999996</v>
      </c>
    </row>
    <row r="15" spans="2:17" x14ac:dyDescent="0.35">
      <c r="B15" s="5">
        <v>10</v>
      </c>
      <c r="C15" s="9">
        <v>0.625</v>
      </c>
      <c r="D15" s="9">
        <v>0.64444444444444449</v>
      </c>
      <c r="E15" s="5" t="s">
        <v>5</v>
      </c>
      <c r="F15" s="22">
        <v>0.33</v>
      </c>
      <c r="G15" s="25">
        <f>I$6*(1-F15)</f>
        <v>4.0199999999999996</v>
      </c>
    </row>
    <row r="16" spans="2:17" x14ac:dyDescent="0.35">
      <c r="B16" s="5">
        <v>11</v>
      </c>
      <c r="C16" s="9">
        <v>0.65416666666666667</v>
      </c>
      <c r="D16" s="9">
        <v>0.67777777777777781</v>
      </c>
      <c r="E16" s="5" t="s">
        <v>5</v>
      </c>
      <c r="F16" s="22">
        <v>0.33</v>
      </c>
      <c r="G16" s="25">
        <f t="shared" si="0"/>
        <v>4.0199999999999996</v>
      </c>
    </row>
    <row r="17" spans="2:7" x14ac:dyDescent="0.35">
      <c r="B17" s="5">
        <v>12</v>
      </c>
      <c r="C17" s="9">
        <v>0.6875</v>
      </c>
      <c r="D17" s="9">
        <v>0.71111111111111114</v>
      </c>
      <c r="E17" s="5" t="s">
        <v>5</v>
      </c>
      <c r="F17" s="22">
        <v>0.33</v>
      </c>
      <c r="G17" s="25">
        <f t="shared" si="0"/>
        <v>4.0199999999999996</v>
      </c>
    </row>
    <row r="18" spans="2:7" x14ac:dyDescent="0.35">
      <c r="B18" s="5">
        <v>13</v>
      </c>
      <c r="C18" s="9">
        <v>0.71875</v>
      </c>
      <c r="D18" s="9">
        <v>0.75416666666666665</v>
      </c>
      <c r="E18" s="5" t="s">
        <v>5</v>
      </c>
      <c r="F18" s="22">
        <v>0.33</v>
      </c>
      <c r="G18" s="25">
        <f t="shared" si="0"/>
        <v>4.0199999999999996</v>
      </c>
    </row>
    <row r="19" spans="2:7" x14ac:dyDescent="0.35">
      <c r="B19" s="5">
        <v>14</v>
      </c>
      <c r="C19" s="9">
        <v>0.76527777777777772</v>
      </c>
      <c r="D19" s="9">
        <v>0.79166666666666663</v>
      </c>
      <c r="E19" s="5" t="s">
        <v>5</v>
      </c>
      <c r="F19" s="22">
        <v>0.33</v>
      </c>
      <c r="G19" s="25">
        <f t="shared" si="0"/>
        <v>4.0199999999999996</v>
      </c>
    </row>
    <row r="20" spans="2:7" x14ac:dyDescent="0.35">
      <c r="B20" s="5">
        <v>15</v>
      </c>
      <c r="C20" s="9">
        <v>0.79861111111111116</v>
      </c>
      <c r="D20" s="9">
        <v>0.82430555555555551</v>
      </c>
      <c r="E20" s="5" t="s">
        <v>5</v>
      </c>
      <c r="F20" s="22">
        <v>0.33</v>
      </c>
      <c r="G20" s="25">
        <f t="shared" si="0"/>
        <v>4.0199999999999996</v>
      </c>
    </row>
    <row r="21" spans="2:7" x14ac:dyDescent="0.35">
      <c r="B21" s="5">
        <v>16</v>
      </c>
      <c r="C21" s="9">
        <v>0.83333333333333337</v>
      </c>
      <c r="D21" s="9">
        <v>0.85763888888888884</v>
      </c>
      <c r="E21" s="5" t="s">
        <v>5</v>
      </c>
      <c r="F21" s="22">
        <v>0.33</v>
      </c>
      <c r="G21" s="25">
        <f t="shared" si="0"/>
        <v>4.0199999999999996</v>
      </c>
    </row>
    <row r="22" spans="2:7" x14ac:dyDescent="0.35">
      <c r="B22" s="5">
        <v>17</v>
      </c>
      <c r="C22" s="9">
        <v>0.86805555555555558</v>
      </c>
      <c r="D22" s="9">
        <v>0.89236111111111116</v>
      </c>
      <c r="E22" s="5" t="s">
        <v>5</v>
      </c>
      <c r="F22" s="22">
        <v>0.33</v>
      </c>
      <c r="G22" s="25">
        <f t="shared" si="0"/>
        <v>4.0199999999999996</v>
      </c>
    </row>
    <row r="23" spans="2:7" x14ac:dyDescent="0.35">
      <c r="B23" s="5">
        <v>18</v>
      </c>
      <c r="C23" s="9">
        <v>0.89930555555555558</v>
      </c>
      <c r="D23" s="9">
        <v>0.92013888888888884</v>
      </c>
      <c r="E23" s="5" t="s">
        <v>5</v>
      </c>
      <c r="F23" s="22">
        <v>0.33</v>
      </c>
      <c r="G23" s="25">
        <f t="shared" si="0"/>
        <v>4.0199999999999996</v>
      </c>
    </row>
    <row r="24" spans="2:7" x14ac:dyDescent="0.35">
      <c r="B24" s="5">
        <v>19</v>
      </c>
      <c r="C24" s="9">
        <v>0.92708333333333337</v>
      </c>
      <c r="D24" s="9">
        <v>0.95486111111111116</v>
      </c>
      <c r="E24" s="5" t="s">
        <v>5</v>
      </c>
      <c r="F24" s="22">
        <v>0.33</v>
      </c>
      <c r="G24" s="25">
        <f t="shared" si="0"/>
        <v>4.0199999999999996</v>
      </c>
    </row>
    <row r="25" spans="2:7" x14ac:dyDescent="0.35">
      <c r="B25" s="5">
        <v>20</v>
      </c>
      <c r="C25" s="9">
        <v>0.96180555555555558</v>
      </c>
      <c r="D25" s="9">
        <v>0.98611111111111116</v>
      </c>
      <c r="E25" s="5" t="s">
        <v>5</v>
      </c>
      <c r="F25" s="22">
        <v>0.33</v>
      </c>
      <c r="G25" s="25">
        <f t="shared" si="0"/>
        <v>4.0199999999999996</v>
      </c>
    </row>
    <row r="26" spans="2:7" x14ac:dyDescent="0.35">
      <c r="B26" s="5">
        <v>21</v>
      </c>
      <c r="C26" s="9">
        <v>0.98958333333333337</v>
      </c>
      <c r="D26" s="9">
        <v>1.5277777777777777E-2</v>
      </c>
      <c r="E26" s="5" t="s">
        <v>5</v>
      </c>
      <c r="F26" s="22">
        <v>0.33</v>
      </c>
      <c r="G26" s="25">
        <f t="shared" si="0"/>
        <v>4.0199999999999996</v>
      </c>
    </row>
    <row r="27" spans="2:7" x14ac:dyDescent="0.35">
      <c r="B27" s="5">
        <v>22</v>
      </c>
      <c r="C27" s="9">
        <v>1.7361111111111112E-2</v>
      </c>
      <c r="D27" s="9">
        <v>3.8194444444444448E-2</v>
      </c>
      <c r="E27" s="5" t="s">
        <v>5</v>
      </c>
      <c r="F27" s="22">
        <v>0.33</v>
      </c>
      <c r="G27" s="25">
        <f t="shared" si="0"/>
        <v>4.0199999999999996</v>
      </c>
    </row>
    <row r="28" spans="2:7" x14ac:dyDescent="0.35">
      <c r="B28" s="5">
        <v>23</v>
      </c>
      <c r="C28" s="9">
        <v>4.5138888888888888E-2</v>
      </c>
      <c r="D28" s="9">
        <v>6.9444444444444448E-2</v>
      </c>
      <c r="E28" s="5" t="s">
        <v>5</v>
      </c>
      <c r="F28" s="22">
        <v>0.33</v>
      </c>
      <c r="G28" s="25">
        <f t="shared" si="0"/>
        <v>4.0199999999999996</v>
      </c>
    </row>
    <row r="29" spans="2:7" x14ac:dyDescent="0.35">
      <c r="B29" s="5">
        <v>24</v>
      </c>
      <c r="C29" s="9">
        <v>7.6388888888888895E-2</v>
      </c>
      <c r="D29" s="9">
        <v>0.1076388888888889</v>
      </c>
      <c r="E29" s="5" t="s">
        <v>5</v>
      </c>
      <c r="F29" s="22">
        <v>0.33</v>
      </c>
      <c r="G29" s="25">
        <f t="shared" si="0"/>
        <v>4.0199999999999996</v>
      </c>
    </row>
    <row r="30" spans="2:7" x14ac:dyDescent="0.35">
      <c r="B30" s="5">
        <v>25</v>
      </c>
      <c r="C30" s="9">
        <v>0.11319444444444444</v>
      </c>
      <c r="D30" s="9">
        <v>0.1423611111111111</v>
      </c>
      <c r="E30" s="5" t="s">
        <v>5</v>
      </c>
      <c r="F30" s="22">
        <v>0.33</v>
      </c>
      <c r="G30" s="25">
        <f t="shared" si="0"/>
        <v>4.0199999999999996</v>
      </c>
    </row>
    <row r="31" spans="2:7" x14ac:dyDescent="0.35">
      <c r="B31" s="5">
        <v>26</v>
      </c>
      <c r="C31" s="9">
        <v>0.14583333333333334</v>
      </c>
      <c r="D31" s="9">
        <v>0.1701388888888889</v>
      </c>
      <c r="E31" s="5" t="s">
        <v>5</v>
      </c>
      <c r="F31" s="22">
        <v>0.33</v>
      </c>
      <c r="G31" s="25">
        <f t="shared" si="0"/>
        <v>4.0199999999999996</v>
      </c>
    </row>
    <row r="32" spans="2:7" x14ac:dyDescent="0.35">
      <c r="B32" s="5">
        <v>27</v>
      </c>
      <c r="C32" s="9">
        <v>0.18055555555555555</v>
      </c>
      <c r="D32" s="9">
        <v>0.2048611111111111</v>
      </c>
      <c r="E32" s="5" t="s">
        <v>5</v>
      </c>
      <c r="F32" s="22">
        <v>0.33</v>
      </c>
      <c r="G32" s="25">
        <f t="shared" si="0"/>
        <v>4.0199999999999996</v>
      </c>
    </row>
    <row r="33" spans="2:9" x14ac:dyDescent="0.35">
      <c r="B33" s="5">
        <v>28</v>
      </c>
      <c r="C33" s="9">
        <v>0.21180555555555555</v>
      </c>
      <c r="D33" s="9">
        <v>0.2326388888888889</v>
      </c>
      <c r="E33" s="5" t="s">
        <v>5</v>
      </c>
      <c r="F33" s="22">
        <v>0.33</v>
      </c>
      <c r="G33" s="25">
        <f t="shared" si="0"/>
        <v>4.0199999999999996</v>
      </c>
    </row>
    <row r="34" spans="2:9" x14ac:dyDescent="0.35">
      <c r="B34" s="5">
        <v>29</v>
      </c>
      <c r="C34" s="9">
        <v>0.24097222222222223</v>
      </c>
      <c r="D34" s="9">
        <v>0.27083333333333331</v>
      </c>
      <c r="E34" s="5" t="s">
        <v>5</v>
      </c>
      <c r="F34" s="22">
        <v>0.33</v>
      </c>
      <c r="G34" s="25">
        <f t="shared" si="0"/>
        <v>4.0199999999999996</v>
      </c>
    </row>
    <row r="35" spans="2:9" x14ac:dyDescent="0.35">
      <c r="B35" s="29" t="s">
        <v>22</v>
      </c>
      <c r="C35" s="104"/>
      <c r="D35" s="105"/>
      <c r="E35" s="105"/>
      <c r="F35" s="106"/>
      <c r="G35" s="30">
        <f>SUM(G6:G29)</f>
        <v>96.479999999999933</v>
      </c>
      <c r="I35" s="37"/>
    </row>
  </sheetData>
  <mergeCells count="8">
    <mergeCell ref="M9:P9"/>
    <mergeCell ref="C35:F35"/>
    <mergeCell ref="B4:B5"/>
    <mergeCell ref="C4:D4"/>
    <mergeCell ref="E4:E5"/>
    <mergeCell ref="F4:F5"/>
    <mergeCell ref="G4:G5"/>
    <mergeCell ref="L4:Q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B614-9A19-493E-B120-1C20B9D988CF}">
  <dimension ref="B1:AB23"/>
  <sheetViews>
    <sheetView zoomScale="50" zoomScaleNormal="50" workbookViewId="0">
      <pane xSplit="2" topLeftCell="C1" activePane="topRight" state="frozen"/>
      <selection pane="topRight" activeCell="L18" sqref="L18"/>
    </sheetView>
  </sheetViews>
  <sheetFormatPr defaultRowHeight="14.5" x14ac:dyDescent="0.35"/>
  <cols>
    <col min="1" max="1" width="8.7265625" style="1"/>
    <col min="2" max="2" width="40" style="1" customWidth="1"/>
    <col min="3" max="3" width="13.81640625" style="1" customWidth="1"/>
    <col min="4" max="4" width="8.7265625" style="1"/>
    <col min="5" max="5" width="10.81640625" style="1" bestFit="1" customWidth="1"/>
    <col min="6" max="6" width="20.54296875" style="1" bestFit="1" customWidth="1"/>
    <col min="7" max="7" width="18.54296875" style="1" bestFit="1" customWidth="1"/>
    <col min="8" max="8" width="18.54296875" style="37" customWidth="1"/>
    <col min="9" max="9" width="18.54296875" style="1" customWidth="1"/>
    <col min="10" max="10" width="16.81640625" style="1" bestFit="1" customWidth="1"/>
    <col min="11" max="11" width="27.26953125" style="1" bestFit="1" customWidth="1"/>
    <col min="12" max="15" width="27.26953125" style="1" customWidth="1"/>
    <col min="16" max="16" width="21.54296875" style="1" customWidth="1"/>
    <col min="17" max="17" width="8.7265625" style="1"/>
    <col min="18" max="18" width="12.36328125" style="1" bestFit="1" customWidth="1"/>
    <col min="19" max="16384" width="8.7265625" style="1"/>
  </cols>
  <sheetData>
    <row r="1" spans="2:28" ht="15" thickBot="1" x14ac:dyDescent="0.4"/>
    <row r="2" spans="2:28" ht="26.5" thickBot="1" x14ac:dyDescent="0.65">
      <c r="E2" s="116" t="s">
        <v>70</v>
      </c>
      <c r="F2" s="117"/>
      <c r="G2" s="117"/>
      <c r="H2" s="118"/>
    </row>
    <row r="4" spans="2:28" ht="15" thickBot="1" x14ac:dyDescent="0.4"/>
    <row r="5" spans="2:28" ht="15" thickBot="1" x14ac:dyDescent="0.4">
      <c r="B5" s="56" t="s">
        <v>45</v>
      </c>
      <c r="C5" s="57" t="s">
        <v>56</v>
      </c>
      <c r="D5" s="57" t="s">
        <v>57</v>
      </c>
      <c r="E5" s="57" t="s">
        <v>58</v>
      </c>
      <c r="F5" s="57" t="s">
        <v>59</v>
      </c>
      <c r="G5" s="57" t="s">
        <v>60</v>
      </c>
      <c r="H5" s="62" t="s">
        <v>29</v>
      </c>
      <c r="I5" s="58" t="s">
        <v>69</v>
      </c>
      <c r="J5" s="59" t="s">
        <v>61</v>
      </c>
      <c r="K5" s="60" t="s">
        <v>68</v>
      </c>
      <c r="L5" s="60" t="s">
        <v>82</v>
      </c>
      <c r="M5" s="60" t="s">
        <v>83</v>
      </c>
      <c r="N5" s="60" t="s">
        <v>79</v>
      </c>
      <c r="O5" s="60" t="s">
        <v>80</v>
      </c>
      <c r="P5" s="60" t="s">
        <v>81</v>
      </c>
      <c r="R5" s="43" t="s">
        <v>33</v>
      </c>
      <c r="V5" s="1">
        <v>108.68</v>
      </c>
    </row>
    <row r="6" spans="2:28" x14ac:dyDescent="0.35">
      <c r="B6" s="119" t="s">
        <v>71</v>
      </c>
      <c r="C6" s="122">
        <v>45974</v>
      </c>
      <c r="D6" s="45" t="s">
        <v>62</v>
      </c>
      <c r="E6" s="46">
        <v>12</v>
      </c>
      <c r="F6" s="47">
        <f>E6*R$6</f>
        <v>132</v>
      </c>
      <c r="G6" s="47">
        <f>F6*(1-H6)</f>
        <v>92.399999999999991</v>
      </c>
      <c r="H6" s="48">
        <v>0.3</v>
      </c>
      <c r="I6" s="54">
        <f>G6/12</f>
        <v>7.6999999999999993</v>
      </c>
      <c r="J6" s="109">
        <f>SUM(G6:G7)</f>
        <v>92.399999999999991</v>
      </c>
      <c r="K6" s="112">
        <v>9.5000000000000001E-2</v>
      </c>
      <c r="L6" s="144">
        <v>1.056</v>
      </c>
      <c r="M6" s="127">
        <v>30.5</v>
      </c>
      <c r="N6" s="107">
        <f>J6*K6</f>
        <v>8.7779999999999987</v>
      </c>
      <c r="O6" s="147">
        <f>L6*J6</f>
        <v>97.574399999999997</v>
      </c>
      <c r="P6" s="107">
        <f>M6*J6</f>
        <v>2818.2</v>
      </c>
      <c r="R6" s="40">
        <v>11</v>
      </c>
      <c r="V6" s="1">
        <v>98.450999999999993</v>
      </c>
    </row>
    <row r="7" spans="2:28" ht="15" thickBot="1" x14ac:dyDescent="0.4">
      <c r="B7" s="120"/>
      <c r="C7" s="123"/>
      <c r="D7" s="49"/>
      <c r="E7" s="50"/>
      <c r="F7" s="51">
        <f>E7*R$6</f>
        <v>0</v>
      </c>
      <c r="G7" s="51">
        <f t="shared" ref="G7:G10" si="0">F7*(1-H7)</f>
        <v>0</v>
      </c>
      <c r="H7" s="63"/>
      <c r="I7" s="55">
        <f t="shared" ref="I7:I10" si="1">G7/12</f>
        <v>0</v>
      </c>
      <c r="J7" s="110"/>
      <c r="K7" s="113"/>
      <c r="L7" s="145"/>
      <c r="M7" s="126"/>
      <c r="N7" s="108"/>
      <c r="O7" s="148"/>
      <c r="P7" s="108"/>
      <c r="V7" s="1">
        <v>95.855000000000004</v>
      </c>
    </row>
    <row r="8" spans="2:28" ht="15" thickBot="1" x14ac:dyDescent="0.4">
      <c r="B8" s="120"/>
      <c r="C8" s="122">
        <v>45975</v>
      </c>
      <c r="D8" s="45" t="s">
        <v>62</v>
      </c>
      <c r="E8" s="46">
        <v>18</v>
      </c>
      <c r="F8" s="47">
        <f>E8*R$6</f>
        <v>198</v>
      </c>
      <c r="G8" s="47">
        <f t="shared" si="0"/>
        <v>138.6</v>
      </c>
      <c r="H8" s="48">
        <v>0.3</v>
      </c>
      <c r="I8" s="54">
        <f t="shared" si="1"/>
        <v>11.549999999999999</v>
      </c>
      <c r="J8" s="109">
        <f>SUM(G8:G9)</f>
        <v>138.6</v>
      </c>
      <c r="K8" s="114">
        <v>8.4000000000000005E-2</v>
      </c>
      <c r="L8" s="144">
        <v>0.629</v>
      </c>
      <c r="M8" s="125">
        <v>53.5</v>
      </c>
      <c r="N8" s="107">
        <f>J8*K8</f>
        <v>11.6424</v>
      </c>
      <c r="O8" s="147">
        <f>L8*J8</f>
        <v>87.179400000000001</v>
      </c>
      <c r="P8" s="107">
        <f>M8*J8</f>
        <v>7415.0999999999995</v>
      </c>
      <c r="V8" s="52">
        <v>97.34</v>
      </c>
    </row>
    <row r="9" spans="2:28" ht="15" thickBot="1" x14ac:dyDescent="0.4">
      <c r="B9" s="120"/>
      <c r="C9" s="123"/>
      <c r="D9" s="49" t="s">
        <v>63</v>
      </c>
      <c r="E9" s="50"/>
      <c r="F9" s="47">
        <f>E9*R$6</f>
        <v>0</v>
      </c>
      <c r="G9" s="51">
        <f t="shared" si="0"/>
        <v>0</v>
      </c>
      <c r="H9" s="63"/>
      <c r="I9" s="54">
        <f t="shared" si="1"/>
        <v>0</v>
      </c>
      <c r="J9" s="111"/>
      <c r="K9" s="115"/>
      <c r="L9" s="145"/>
      <c r="M9" s="146"/>
      <c r="N9" s="108"/>
      <c r="O9" s="148"/>
      <c r="P9" s="108"/>
      <c r="V9" s="52">
        <f>AVERAGE(V5:V8)</f>
        <v>100.08150000000001</v>
      </c>
    </row>
    <row r="10" spans="2:28" ht="15" thickBot="1" x14ac:dyDescent="0.4">
      <c r="B10" s="121"/>
      <c r="C10" s="65">
        <v>45976</v>
      </c>
      <c r="D10" s="68" t="s">
        <v>62</v>
      </c>
      <c r="E10" s="64">
        <v>2</v>
      </c>
      <c r="F10" s="47">
        <f>E10*R$6</f>
        <v>22</v>
      </c>
      <c r="G10" s="51">
        <f t="shared" si="0"/>
        <v>15.399999999999999</v>
      </c>
      <c r="H10" s="69">
        <v>0.3</v>
      </c>
      <c r="I10" s="54">
        <f t="shared" si="1"/>
        <v>1.2833333333333332</v>
      </c>
      <c r="J10" s="70">
        <f>G10</f>
        <v>15.399999999999999</v>
      </c>
      <c r="K10" s="67">
        <v>0.121</v>
      </c>
      <c r="L10" s="74">
        <v>0.46300000000000002</v>
      </c>
      <c r="M10" s="74">
        <v>36.76</v>
      </c>
      <c r="N10" s="75">
        <f>K10*J10</f>
        <v>1.8633999999999997</v>
      </c>
      <c r="O10" s="70">
        <f>L10*J10</f>
        <v>7.1301999999999994</v>
      </c>
      <c r="P10" s="149">
        <f>M10*J10</f>
        <v>566.10399999999993</v>
      </c>
    </row>
    <row r="11" spans="2:28" x14ac:dyDescent="0.35">
      <c r="B11" s="29" t="s">
        <v>73</v>
      </c>
      <c r="C11" s="27"/>
      <c r="D11" s="27"/>
      <c r="E11" s="27"/>
      <c r="F11" s="27"/>
      <c r="G11" s="27"/>
      <c r="H11" s="71">
        <f>AVERAGE(H6:H10)</f>
        <v>0.3</v>
      </c>
      <c r="I11" s="72">
        <f>AVERAGE(I6:I10)</f>
        <v>4.1066666666666665</v>
      </c>
      <c r="J11" s="38">
        <f>SUM(J6:J10)</f>
        <v>246.4</v>
      </c>
      <c r="K11" s="140">
        <f>AVERAGE(K6:K10)</f>
        <v>9.9999999999999992E-2</v>
      </c>
      <c r="L11" s="30">
        <f t="shared" ref="L11:M11" si="2">AVERAGE(L6:L10)</f>
        <v>0.71600000000000008</v>
      </c>
      <c r="M11" s="30">
        <f t="shared" si="2"/>
        <v>40.25333333333333</v>
      </c>
      <c r="N11" s="38">
        <f>SUM(N6:N10)</f>
        <v>22.283799999999999</v>
      </c>
      <c r="O11" s="140"/>
      <c r="P11" s="38"/>
      <c r="R11" s="53"/>
      <c r="S11" s="53"/>
      <c r="T11" s="53"/>
      <c r="U11" s="61"/>
      <c r="Z11" s="37"/>
      <c r="AA11" s="37"/>
      <c r="AB11" s="44"/>
    </row>
    <row r="12" spans="2:28" x14ac:dyDescent="0.35">
      <c r="P12" s="124"/>
    </row>
    <row r="13" spans="2:28" x14ac:dyDescent="0.35">
      <c r="P13" s="124"/>
      <c r="S13" s="39"/>
    </row>
    <row r="14" spans="2:28" x14ac:dyDescent="0.35">
      <c r="P14" s="124"/>
      <c r="S14" s="37"/>
    </row>
    <row r="15" spans="2:28" x14ac:dyDescent="0.35">
      <c r="P15" s="124"/>
    </row>
    <row r="19" spans="9:15" x14ac:dyDescent="0.35">
      <c r="I19" s="52"/>
      <c r="J19" s="21"/>
      <c r="K19" s="66"/>
      <c r="L19" s="73"/>
      <c r="M19" s="73"/>
      <c r="N19" s="73"/>
      <c r="O19" s="73"/>
    </row>
    <row r="20" spans="9:15" x14ac:dyDescent="0.35">
      <c r="I20" s="52"/>
      <c r="J20" s="21"/>
      <c r="K20" s="66"/>
      <c r="L20" s="73"/>
      <c r="M20" s="73"/>
      <c r="N20" s="73"/>
      <c r="O20" s="73"/>
    </row>
    <row r="21" spans="9:15" x14ac:dyDescent="0.35">
      <c r="I21" s="52"/>
      <c r="J21" s="21"/>
      <c r="K21" s="66"/>
      <c r="L21" s="73"/>
      <c r="M21" s="73"/>
      <c r="N21" s="73"/>
      <c r="O21" s="73"/>
    </row>
    <row r="22" spans="9:15" x14ac:dyDescent="0.35">
      <c r="I22" s="52"/>
      <c r="J22" s="21"/>
      <c r="K22" s="66"/>
      <c r="L22" s="73"/>
      <c r="M22" s="73"/>
      <c r="N22" s="73"/>
      <c r="O22" s="73"/>
    </row>
    <row r="23" spans="9:15" x14ac:dyDescent="0.35">
      <c r="I23" s="52"/>
      <c r="K23" s="39"/>
      <c r="L23" s="39"/>
      <c r="M23" s="39"/>
      <c r="N23" s="39"/>
      <c r="O23" s="39"/>
    </row>
  </sheetData>
  <mergeCells count="20">
    <mergeCell ref="L6:L7"/>
    <mergeCell ref="L8:L9"/>
    <mergeCell ref="M6:M7"/>
    <mergeCell ref="M8:M9"/>
    <mergeCell ref="N6:N7"/>
    <mergeCell ref="N8:N9"/>
    <mergeCell ref="O6:O7"/>
    <mergeCell ref="O8:O9"/>
    <mergeCell ref="P14:P15"/>
    <mergeCell ref="P12:P13"/>
    <mergeCell ref="E2:H2"/>
    <mergeCell ref="C6:C7"/>
    <mergeCell ref="C8:C9"/>
    <mergeCell ref="B6:B10"/>
    <mergeCell ref="J6:J7"/>
    <mergeCell ref="J8:J9"/>
    <mergeCell ref="K6:K7"/>
    <mergeCell ref="K8:K9"/>
    <mergeCell ref="P6:P7"/>
    <mergeCell ref="P8:P9"/>
  </mergeCells>
  <pageMargins left="0.7" right="0.7" top="0.75" bottom="0.75" header="0.3" footer="0.3"/>
  <pageSetup paperSize="9" orientation="portrait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ADF1-C2B4-4686-880E-4510F986386B}">
  <dimension ref="B2:J9"/>
  <sheetViews>
    <sheetView workbookViewId="0">
      <selection activeCell="G7" sqref="G7"/>
    </sheetView>
  </sheetViews>
  <sheetFormatPr defaultRowHeight="14.5" x14ac:dyDescent="0.35"/>
  <cols>
    <col min="1" max="1" width="8.7265625" style="1"/>
    <col min="2" max="2" width="8.81640625" style="1" bestFit="1" customWidth="1"/>
    <col min="3" max="3" width="10.6328125" style="1" bestFit="1" customWidth="1"/>
    <col min="4" max="4" width="15.7265625" style="1" bestFit="1" customWidth="1"/>
    <col min="5" max="5" width="21.90625" style="1" bestFit="1" customWidth="1"/>
    <col min="6" max="6" width="15" style="1" bestFit="1" customWidth="1"/>
    <col min="7" max="7" width="14.36328125" style="1" bestFit="1" customWidth="1"/>
    <col min="8" max="8" width="10.81640625" style="1" customWidth="1"/>
    <col min="9" max="16384" width="8.7265625" style="1"/>
  </cols>
  <sheetData>
    <row r="2" spans="2:10" x14ac:dyDescent="0.35">
      <c r="B2" s="77" t="s">
        <v>0</v>
      </c>
      <c r="C2" s="77" t="s">
        <v>34</v>
      </c>
      <c r="D2" s="77" t="s">
        <v>66</v>
      </c>
      <c r="E2" s="77" t="s">
        <v>65</v>
      </c>
      <c r="F2" s="77" t="s">
        <v>64</v>
      </c>
      <c r="G2" s="77" t="s">
        <v>67</v>
      </c>
      <c r="H2" s="77" t="s">
        <v>31</v>
      </c>
    </row>
    <row r="3" spans="2:10" x14ac:dyDescent="0.35">
      <c r="B3" s="128">
        <v>1</v>
      </c>
      <c r="C3" s="129">
        <v>45974</v>
      </c>
      <c r="D3" s="78">
        <v>2665</v>
      </c>
      <c r="E3" s="78">
        <v>2010</v>
      </c>
      <c r="F3" s="78">
        <f t="shared" ref="F3:F7" si="0">E3-G3</f>
        <v>1835</v>
      </c>
      <c r="G3" s="78">
        <v>175</v>
      </c>
      <c r="H3" s="79">
        <f t="shared" ref="H3:H7" si="1">(D3-F3)/D3</f>
        <v>0.31144465290806755</v>
      </c>
    </row>
    <row r="4" spans="2:10" x14ac:dyDescent="0.35">
      <c r="B4" s="128"/>
      <c r="C4" s="129"/>
      <c r="D4" s="78">
        <v>2170</v>
      </c>
      <c r="E4" s="78">
        <f>1405+G4</f>
        <v>1590</v>
      </c>
      <c r="F4" s="78">
        <f>E4-G4</f>
        <v>1405</v>
      </c>
      <c r="G4" s="78">
        <v>185</v>
      </c>
      <c r="H4" s="79">
        <f>(D4-F4)/D4</f>
        <v>0.35253456221198154</v>
      </c>
    </row>
    <row r="5" spans="2:10" x14ac:dyDescent="0.35">
      <c r="B5" s="128"/>
      <c r="C5" s="129"/>
      <c r="D5" s="78">
        <v>2245</v>
      </c>
      <c r="E5" s="78">
        <v>1405</v>
      </c>
      <c r="F5" s="78">
        <f>(E5+G5)</f>
        <v>1575</v>
      </c>
      <c r="G5" s="78">
        <v>170</v>
      </c>
      <c r="H5" s="79">
        <f>(D5-F5)/D5</f>
        <v>0.2984409799554566</v>
      </c>
      <c r="I5" s="44"/>
      <c r="J5" s="44"/>
    </row>
    <row r="6" spans="2:10" x14ac:dyDescent="0.35">
      <c r="B6" s="132">
        <v>2</v>
      </c>
      <c r="C6" s="130">
        <v>45975</v>
      </c>
      <c r="D6" s="78">
        <v>3550</v>
      </c>
      <c r="E6" s="78">
        <f>(2635+G6)</f>
        <v>2820</v>
      </c>
      <c r="F6" s="78">
        <f t="shared" si="0"/>
        <v>2635</v>
      </c>
      <c r="G6" s="78">
        <v>185</v>
      </c>
      <c r="H6" s="79">
        <f t="shared" si="1"/>
        <v>0.25774647887323943</v>
      </c>
    </row>
    <row r="7" spans="2:10" x14ac:dyDescent="0.35">
      <c r="B7" s="133"/>
      <c r="C7" s="131"/>
      <c r="D7" s="78">
        <v>3600</v>
      </c>
      <c r="E7" s="78">
        <f>(2645+G7)</f>
        <v>2825</v>
      </c>
      <c r="F7" s="78">
        <f t="shared" si="0"/>
        <v>2645</v>
      </c>
      <c r="G7" s="78">
        <v>180</v>
      </c>
      <c r="H7" s="79">
        <f t="shared" si="1"/>
        <v>0.26527777777777778</v>
      </c>
    </row>
    <row r="8" spans="2:10" x14ac:dyDescent="0.35">
      <c r="B8" s="80"/>
      <c r="C8" s="81" t="s">
        <v>72</v>
      </c>
      <c r="D8" s="82"/>
      <c r="E8" s="82"/>
      <c r="F8" s="82"/>
      <c r="G8" s="82"/>
      <c r="H8" s="83">
        <f>AVERAGE(H3:H7)</f>
        <v>0.29708889034530456</v>
      </c>
      <c r="I8" s="44"/>
    </row>
    <row r="9" spans="2:10" x14ac:dyDescent="0.35">
      <c r="B9" s="5"/>
      <c r="C9" s="76"/>
      <c r="D9" s="5"/>
      <c r="E9" s="5"/>
      <c r="F9" s="5"/>
      <c r="G9" s="5"/>
      <c r="H9" s="23"/>
      <c r="J9" s="44"/>
    </row>
  </sheetData>
  <mergeCells count="4">
    <mergeCell ref="B3:B5"/>
    <mergeCell ref="C3:C5"/>
    <mergeCell ref="C6:C7"/>
    <mergeCell ref="B6:B7"/>
  </mergeCells>
  <pageMargins left="0.7" right="0.7" top="0.75" bottom="0.75" header="0.3" footer="0.3"/>
  <pageSetup paperSize="9" orientation="portrait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5337-C8B8-43A9-B569-61176B1B8609}">
  <dimension ref="C3:H7"/>
  <sheetViews>
    <sheetView tabSelected="1" workbookViewId="0">
      <selection activeCell="G9" sqref="G9"/>
    </sheetView>
  </sheetViews>
  <sheetFormatPr defaultRowHeight="14.5" x14ac:dyDescent="0.35"/>
  <cols>
    <col min="4" max="4" width="10.453125" bestFit="1" customWidth="1"/>
    <col min="5" max="5" width="14.1796875" customWidth="1"/>
    <col min="6" max="6" width="11.54296875" bestFit="1" customWidth="1"/>
    <col min="7" max="7" width="18.36328125" bestFit="1" customWidth="1"/>
    <col min="8" max="8" width="17.7265625" bestFit="1" customWidth="1"/>
  </cols>
  <sheetData>
    <row r="3" spans="3:8" x14ac:dyDescent="0.35">
      <c r="C3" s="137" t="s">
        <v>0</v>
      </c>
      <c r="D3" s="137" t="s">
        <v>34</v>
      </c>
      <c r="E3" s="137" t="s">
        <v>74</v>
      </c>
      <c r="F3" s="137" t="s">
        <v>75</v>
      </c>
      <c r="G3" s="137" t="s">
        <v>76</v>
      </c>
      <c r="H3" s="137" t="s">
        <v>77</v>
      </c>
    </row>
    <row r="4" spans="3:8" x14ac:dyDescent="0.35">
      <c r="C4" s="134">
        <v>1</v>
      </c>
      <c r="D4" s="135">
        <v>45974</v>
      </c>
      <c r="E4" s="136">
        <v>108.68</v>
      </c>
      <c r="F4" s="138">
        <v>0.3</v>
      </c>
      <c r="G4" s="136">
        <f>(E4*98)/1000</f>
        <v>10.650640000000001</v>
      </c>
      <c r="H4" s="136">
        <f>G4*(1-F4)</f>
        <v>7.4554480000000005</v>
      </c>
    </row>
    <row r="5" spans="3:8" x14ac:dyDescent="0.35">
      <c r="C5" s="134">
        <v>2</v>
      </c>
      <c r="D5" s="135">
        <v>45975</v>
      </c>
      <c r="E5" s="136">
        <v>98.450999999999993</v>
      </c>
      <c r="F5" s="138">
        <v>0.3</v>
      </c>
      <c r="G5" s="136">
        <f t="shared" ref="G5:G6" si="0">(E5*98)/1000</f>
        <v>9.6481979999999989</v>
      </c>
      <c r="H5" s="136">
        <f t="shared" ref="H5:H6" si="1">G5*(1-F5)</f>
        <v>6.7537385999999993</v>
      </c>
    </row>
    <row r="6" spans="3:8" x14ac:dyDescent="0.35">
      <c r="C6" s="134">
        <v>3</v>
      </c>
      <c r="D6" s="135">
        <v>45976</v>
      </c>
      <c r="E6" s="136">
        <v>95.855000000000004</v>
      </c>
      <c r="F6" s="138">
        <v>0.3</v>
      </c>
      <c r="G6" s="136">
        <f t="shared" si="0"/>
        <v>9.393790000000001</v>
      </c>
      <c r="H6" s="136">
        <f t="shared" si="1"/>
        <v>6.575653</v>
      </c>
    </row>
    <row r="7" spans="3:8" x14ac:dyDescent="0.35">
      <c r="C7" s="141" t="s">
        <v>78</v>
      </c>
      <c r="D7" s="141"/>
      <c r="E7" s="142">
        <f>AVERAGE(E4:E6)</f>
        <v>100.99533333333333</v>
      </c>
      <c r="F7" s="143">
        <f>AVERAGE(F4:F6)</f>
        <v>0.3</v>
      </c>
      <c r="G7" s="139">
        <f>AVERAGE(G4:G6)</f>
        <v>9.8975426666666664</v>
      </c>
      <c r="H7" s="139">
        <f>AVERAGE(H4:H6)</f>
        <v>6.9282798666666663</v>
      </c>
    </row>
  </sheetData>
  <mergeCells count="1">
    <mergeCell ref="C7:D7"/>
  </mergeCells>
  <pageMargins left="0.7" right="0.7" top="0.75" bottom="0.75" header="0.3" footer="0.3"/>
  <pageSetup paperSize="9" orientation="portrait" horizontalDpi="360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B180-0BEE-403A-8A28-D524DB16609D}">
  <dimension ref="B2:J4"/>
  <sheetViews>
    <sheetView workbookViewId="0">
      <selection activeCell="H9" sqref="H9"/>
    </sheetView>
  </sheetViews>
  <sheetFormatPr defaultRowHeight="14.5" x14ac:dyDescent="0.35"/>
  <cols>
    <col min="1" max="1" width="8.7265625" style="1"/>
    <col min="2" max="2" width="10.453125" style="1" bestFit="1" customWidth="1"/>
    <col min="3" max="3" width="9.54296875" style="1" bestFit="1" customWidth="1"/>
    <col min="4" max="4" width="9.81640625" style="1" bestFit="1" customWidth="1"/>
    <col min="5" max="5" width="16.36328125" style="1" bestFit="1" customWidth="1"/>
    <col min="6" max="6" width="15.7265625" style="1" bestFit="1" customWidth="1"/>
    <col min="7" max="9" width="8.7265625" style="1"/>
    <col min="10" max="10" width="27.7265625" style="1" bestFit="1" customWidth="1"/>
    <col min="11" max="16384" width="8.7265625" style="1"/>
  </cols>
  <sheetData>
    <row r="2" spans="2:10" x14ac:dyDescent="0.35">
      <c r="B2" s="8" t="s">
        <v>34</v>
      </c>
      <c r="C2" s="8" t="s">
        <v>35</v>
      </c>
      <c r="D2" s="8" t="s">
        <v>29</v>
      </c>
      <c r="E2" s="8" t="s">
        <v>36</v>
      </c>
      <c r="F2" s="8" t="s">
        <v>37</v>
      </c>
      <c r="J2" s="10" t="s">
        <v>38</v>
      </c>
    </row>
    <row r="3" spans="2:10" x14ac:dyDescent="0.35">
      <c r="B3" s="31">
        <v>45660</v>
      </c>
      <c r="C3" s="5">
        <v>19</v>
      </c>
      <c r="D3" s="22">
        <v>0.26</v>
      </c>
      <c r="E3" s="32">
        <f>$J3*C3</f>
        <v>114</v>
      </c>
      <c r="F3" s="33">
        <f>E3*(1-D3)</f>
        <v>84.36</v>
      </c>
      <c r="J3" s="4">
        <v>6</v>
      </c>
    </row>
    <row r="4" spans="2:10" x14ac:dyDescent="0.35">
      <c r="B4" s="31">
        <v>45661</v>
      </c>
      <c r="C4" s="5">
        <v>16</v>
      </c>
      <c r="D4" s="22">
        <v>0.28999999999999998</v>
      </c>
      <c r="E4" s="32">
        <f>J3*C4</f>
        <v>96</v>
      </c>
      <c r="F4" s="33">
        <f>E4*(1-D4)</f>
        <v>68.16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26 Des 2024</vt:lpstr>
      <vt:lpstr>27 Desember 24</vt:lpstr>
      <vt:lpstr>28 Desember 2024</vt:lpstr>
      <vt:lpstr>03 januari 25</vt:lpstr>
      <vt:lpstr>04 Januari 25</vt:lpstr>
      <vt:lpstr>Lembar4</vt:lpstr>
      <vt:lpstr>05 Januari 25</vt:lpstr>
      <vt:lpstr>06 Januari </vt:lpstr>
      <vt:lpstr>07 Januari</vt:lpstr>
      <vt:lpstr>08 Januari</vt:lpstr>
      <vt:lpstr>09 Januari 25</vt:lpstr>
      <vt:lpstr>Report Filter press 8-12</vt:lpstr>
      <vt:lpstr>10 Januari</vt:lpstr>
      <vt:lpstr>11 Januari 25</vt:lpstr>
      <vt:lpstr>12 Januari 25</vt:lpstr>
      <vt:lpstr>13 Januari</vt:lpstr>
      <vt:lpstr>14 Januari</vt:lpstr>
      <vt:lpstr>16 Januari </vt:lpstr>
      <vt:lpstr>17 Januari</vt:lpstr>
      <vt:lpstr>02 Feb 25</vt:lpstr>
      <vt:lpstr>Daily Report</vt:lpstr>
      <vt:lpstr>Moisture Cek</vt:lpstr>
      <vt:lpstr>Weight Per Plat</vt:lpstr>
      <vt:lpstr>Report Tong</vt:lpstr>
      <vt:lpstr>Lembar4!Print_Area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cp:lastPrinted>2025-01-08T06:31:56Z</cp:lastPrinted>
  <dcterms:created xsi:type="dcterms:W3CDTF">2024-12-27T23:33:21Z</dcterms:created>
  <dcterms:modified xsi:type="dcterms:W3CDTF">2025-11-24T08:54:15Z</dcterms:modified>
</cp:coreProperties>
</file>