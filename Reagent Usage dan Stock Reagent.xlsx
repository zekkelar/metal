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amda\Documents\Zeta_Edit\"/>
    </mc:Choice>
  </mc:AlternateContent>
  <xr:revisionPtr revIDLastSave="0" documentId="13_ncr:1_{7B5037B6-DD85-4157-AF40-4966966135A6}" xr6:coauthVersionLast="47" xr6:coauthVersionMax="47" xr10:uidLastSave="{00000000-0000-0000-0000-000000000000}"/>
  <bookViews>
    <workbookView xWindow="-108" yWindow="-108" windowWidth="23256" windowHeight="12456" xr2:uid="{44BE0AC2-6033-44C2-8356-2F41A96EBF2E}"/>
  </bookViews>
  <sheets>
    <sheet name="Stock Barang" sheetId="1" r:id="rId1"/>
    <sheet name="Barang Masuk" sheetId="2" r:id="rId2"/>
    <sheet name="Barang Keluar " sheetId="3" r:id="rId3"/>
    <sheet name="Sheet4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9" i="3" l="1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8" i="3"/>
  <c r="E5" i="2"/>
  <c r="E6" i="2"/>
  <c r="E5" i="3"/>
  <c r="E6" i="3"/>
  <c r="E7" i="3"/>
  <c r="E7" i="2" l="1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5" i="1" l="1"/>
  <c r="E21" i="1"/>
  <c r="E7" i="1"/>
  <c r="E8" i="1"/>
  <c r="E15" i="1"/>
  <c r="E17" i="1"/>
  <c r="E19" i="1"/>
  <c r="E6" i="1"/>
  <c r="E9" i="1"/>
  <c r="E10" i="1"/>
  <c r="E11" i="1"/>
  <c r="E12" i="1"/>
  <c r="E13" i="1"/>
  <c r="E14" i="1"/>
  <c r="E16" i="1"/>
  <c r="E18" i="1"/>
  <c r="E20" i="1"/>
  <c r="F5" i="1"/>
  <c r="F21" i="1"/>
  <c r="F11" i="1"/>
  <c r="F13" i="1"/>
  <c r="F15" i="1"/>
  <c r="F17" i="1"/>
  <c r="F20" i="1"/>
  <c r="F6" i="1"/>
  <c r="F7" i="1"/>
  <c r="F9" i="1"/>
  <c r="F10" i="1"/>
  <c r="F12" i="1"/>
  <c r="F16" i="1"/>
  <c r="F18" i="1"/>
  <c r="F8" i="1"/>
  <c r="F14" i="1"/>
  <c r="F19" i="1"/>
  <c r="E4" i="1"/>
  <c r="F4" i="1"/>
  <c r="G7" i="1" l="1"/>
  <c r="G15" i="1"/>
  <c r="G5" i="1"/>
  <c r="G11" i="1"/>
  <c r="G17" i="1"/>
  <c r="G21" i="1"/>
  <c r="G16" i="1"/>
  <c r="G8" i="1"/>
  <c r="G4" i="1"/>
  <c r="G20" i="1"/>
  <c r="G9" i="1"/>
  <c r="G13" i="1"/>
  <c r="G18" i="1"/>
  <c r="G19" i="1"/>
  <c r="G12" i="1"/>
  <c r="G10" i="1"/>
  <c r="G14" i="1"/>
  <c r="G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tc={F89FFF17-A345-4E9D-92E1-D6DC829CCC96}</author>
    <author>tc={306E449D-C922-4162-952C-285CFD52C9D7}</author>
    <author>tc={CB5F7F72-F9DB-44E4-A368-682C4A30DE5D}</author>
    <author>tc={EBE156AD-D092-495A-B07F-4977E8D56D04}</author>
    <author>tc={0955E799-D07E-4B30-BBDB-A4C215889061}</author>
  </authors>
  <commentList>
    <comment ref="G4" authorId="0" shapeId="0" xr:uid="{F89FFF17-A345-4E9D-92E1-D6DC829CCC96}">
      <text>
        <t>[Threaded comment]
Your version of Excel allows you to read this threaded comment; however, any edits to it will get removed if the file is opened in a newer version of Excel. Learn more: https://go.microsoft.com/fwlink/?linkid=870924
Comment:
    Consumption NaCN perbatch proses 50 kg</t>
      </text>
    </comment>
    <comment ref="G6" authorId="1" shapeId="0" xr:uid="{306E449D-C922-4162-952C-285CFD52C9D7}">
      <text>
        <t>[Threaded comment]
Your version of Excel allows you to read this threaded comment; however, any edits to it will get removed if the file is opened in a newer version of Excel. Learn more: https://go.microsoft.com/fwlink/?linkid=870924
Comment:
    Dalam pengolahan 2500 ton, sandios yang digunakan sekitar 3,8-4 ton</t>
      </text>
    </comment>
    <comment ref="G7" authorId="2" shapeId="0" xr:uid="{CB5F7F72-F9DB-44E4-A368-682C4A30DE5D}">
      <text>
        <t>[Threaded comment]
Your version of Excel allows you to read this threaded comment; however, any edits to it will get removed if the file is opened in a newer version of Excel. Learn more: https://go.microsoft.com/fwlink/?linkid=870924
Comment:
    Perton proses untuk ore pit 2 bukan sulfide per 2500 ton, 10 ton kapur</t>
      </text>
    </comment>
    <comment ref="G8" authorId="3" shapeId="0" xr:uid="{EBE156AD-D092-495A-B07F-4977E8D56D04}">
      <text>
        <t>[Threaded comment]
Your version of Excel allows you to read this threaded comment; however, any edits to it will get removed if the file is opened in a newer version of Excel. Learn more: https://go.microsoft.com/fwlink/?linkid=870924
Comment:
    Penggunaan naoh pada gold room dalam satu batch 200 kg</t>
      </text>
    </comment>
    <comment ref="G10" authorId="4" shapeId="0" xr:uid="{0955E799-D07E-4B30-BBDB-A4C215889061}">
      <text>
        <t>[Threaded comment]
Your version of Excel allows you to read this threaded comment; however, any edits to it will get removed if the file is opened in a newer version of Excel. Learn more: https://go.microsoft.com/fwlink/?linkid=870924
Comment:
    Dalam satu batch proses untuk 3 ton carbon menggunakan 15 jerigen</t>
      </text>
    </comment>
  </commentList>
</comments>
</file>

<file path=xl/sharedStrings.xml><?xml version="1.0" encoding="utf-8"?>
<sst xmlns="http://schemas.openxmlformats.org/spreadsheetml/2006/main" count="75" uniqueCount="33">
  <si>
    <t>No</t>
  </si>
  <si>
    <t>Kode Barang</t>
  </si>
  <si>
    <t>Nama Barang</t>
  </si>
  <si>
    <t>Stok Awal</t>
  </si>
  <si>
    <t>Barang Masuk</t>
  </si>
  <si>
    <t xml:space="preserve">Barang Keluar </t>
  </si>
  <si>
    <t>Stock Akhir</t>
  </si>
  <si>
    <t>NaCN</t>
  </si>
  <si>
    <t>CBN</t>
  </si>
  <si>
    <t>SND</t>
  </si>
  <si>
    <t>Lime</t>
  </si>
  <si>
    <t>NaOH</t>
  </si>
  <si>
    <t>Sianida</t>
  </si>
  <si>
    <t>Carbon</t>
  </si>
  <si>
    <t>Sandios</t>
  </si>
  <si>
    <t>Kapur</t>
  </si>
  <si>
    <t>Kaustik</t>
  </si>
  <si>
    <t>BRX</t>
  </si>
  <si>
    <t>Borax</t>
  </si>
  <si>
    <t>HCL</t>
  </si>
  <si>
    <t xml:space="preserve">Tanggal </t>
  </si>
  <si>
    <t>Jumlah Barang Masuk (kg)</t>
  </si>
  <si>
    <t>Jumlah Barang Keluar  (kg)</t>
  </si>
  <si>
    <t>SMBS</t>
  </si>
  <si>
    <t>Periode Agustus-September 2026</t>
  </si>
  <si>
    <t>Area</t>
  </si>
  <si>
    <t>Leaching</t>
  </si>
  <si>
    <t>Gold Rom</t>
  </si>
  <si>
    <t>Ket</t>
  </si>
  <si>
    <t>Batch 1</t>
  </si>
  <si>
    <t>Floculant</t>
  </si>
  <si>
    <t>Floc</t>
  </si>
  <si>
    <t>Anjing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</si>
</sst>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name val="Aptos Narrow"/>
      <family val="2"/>
      <scheme val="minor"/>
    </font>
    <font>
      <sz val="12"/>
      <name val="Aptos Narrow"/>
      <family val="2"/>
      <scheme val="minor"/>
    </font>
    <font>
      <b/>
      <sz val="14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2" borderId="0" xfId="0" applyFill="1"/>
    <xf numFmtId="0" fontId="0" fillId="2" borderId="1" xfId="0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14" fontId="0" fillId="0" borderId="1" xfId="0" applyNumberFormat="1" applyBorder="1"/>
    <xf numFmtId="0" fontId="3" fillId="2" borderId="2" xfId="0" applyFont="1" applyFill="1" applyBorder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3" fillId="2" borderId="0" xfId="0" applyFont="1" applyFill="1"/>
    <xf numFmtId="0" fontId="4" fillId="2" borderId="2" xfId="0" applyFont="1" applyFill="1" applyBorder="1" applyAlignment="1">
      <alignment horizontal="center"/>
    </xf>
    <xf numFmtId="0" fontId="1" fillId="3" borderId="7" xfId="0" applyFont="1" applyFill="1" applyBorder="1" applyAlignment="1">
      <alignment horizontal="center"/>
    </xf>
    <xf numFmtId="0" fontId="5" fillId="2" borderId="0" xfId="0" applyFont="1" applyFill="1" applyAlignment="1">
      <alignment horizontal="center"/>
    </xf>
  </cellXfs>
  <cellStyles count="1">
    <cellStyle name="Normal" xfId="0" builtinId="0"/>
  </cellStyles>
  <dxfs count="16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Dyan Ramdhani" id="{6BF76CF7-957F-4804-ACC7-2D4FE973E4A0}" userId="5013aa31352d86ff" providerId="Windows Live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AC36863-5F67-4496-A2C7-808F86C284A1}" name="Table1" displayName="Table1" ref="B3:G21" totalsRowShown="0" headerRowDxfId="15" dataDxfId="13" headerRowBorderDxfId="14" tableBorderDxfId="12" totalsRowBorderDxfId="11">
  <autoFilter ref="B3:G21" xr:uid="{1AC36863-5F67-4496-A2C7-808F86C284A1}"/>
  <tableColumns count="6">
    <tableColumn id="2" xr3:uid="{E78837C8-954C-440F-BCB4-114AA4EBC159}" name="Kode Barang" dataDxfId="10"/>
    <tableColumn id="3" xr3:uid="{BB8DB245-EB50-4D84-9B3E-D2CF46896708}" name="Nama Barang" dataDxfId="9"/>
    <tableColumn id="4" xr3:uid="{36BAEBBD-D2E7-42F0-B8AF-873903FEFEA9}" name="Stok Awal" dataDxfId="8"/>
    <tableColumn id="5" xr3:uid="{3DA331B5-0C1B-4517-AC2B-660041411D0B}" name="Barang Masuk" dataDxfId="7">
      <calculatedColumnFormula>SUMIF('Barang Masuk'!$E$5:$E$29,Table1[[#This Row],[Nama Barang]],'Barang Masuk'!$F$5:$F$29)</calculatedColumnFormula>
    </tableColumn>
    <tableColumn id="6" xr3:uid="{4231B6CF-326F-44B2-8A60-3DCCDB55861D}" name="Barang Keluar " dataDxfId="6">
      <calculatedColumnFormula>SUMIF('Barang Keluar '!$E$5:$E$29,Table1[[#This Row],[Nama Barang]],'Barang Keluar '!$F$5:$F$29)</calculatedColumnFormula>
    </tableColumn>
    <tableColumn id="7" xr3:uid="{9472852C-4AF5-44FD-A6F5-E9EDEDD511AE}" name="Stock Akhir" dataDxfId="5">
      <calculatedColumnFormula>(Table1[[#This Row],[Barang Masuk]]+Table1[[#This Row],[Stok Awal]])-Table1[[#This Row],[Barang Keluar 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G4" dT="2026-08-28T03:21:27.07" personId="{6BF76CF7-957F-4804-ACC7-2D4FE973E4A0}" id="{F89FFF17-A345-4E9D-92E1-D6DC829CCC96}">
    <text>Consumption NaCN perbatch proses 50 kg</text>
  </threadedComment>
  <threadedComment ref="G6" dT="2026-08-28T03:25:01.46" personId="{6BF76CF7-957F-4804-ACC7-2D4FE973E4A0}" id="{306E449D-C922-4162-952C-285CFD52C9D7}">
    <text>Dalam pengolahan 2500 ton, sandios yang digunakan sekitar 3,8-4 ton</text>
  </threadedComment>
  <threadedComment ref="G7" dT="2026-08-28T03:23:55.39" personId="{6BF76CF7-957F-4804-ACC7-2D4FE973E4A0}" id="{CB5F7F72-F9DB-44E4-A368-682C4A30DE5D}">
    <text>Perton proses untuk ore pit 2 bukan sulfide per 2500 ton, 10 ton kapur</text>
  </threadedComment>
  <threadedComment ref="G8" dT="2026-08-28T03:21:52.82" personId="{6BF76CF7-957F-4804-ACC7-2D4FE973E4A0}" id="{EBE156AD-D092-495A-B07F-4977E8D56D04}">
    <text>Penggunaan naoh pada gold room dalam satu batch 200 kg</text>
  </threadedComment>
  <threadedComment ref="G10" dT="2026-08-28T03:22:14.21" personId="{6BF76CF7-957F-4804-ACC7-2D4FE973E4A0}" id="{0955E799-D07E-4B30-BBDB-A4C215889061}">
    <text>Dalam satu batch proses untuk 3 ton carbon menggunakan 15 jerigen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C8830-268B-489B-9A12-01936A5CA5A2}">
  <dimension ref="B1:M21"/>
  <sheetViews>
    <sheetView tabSelected="1" zoomScale="84" workbookViewId="0">
      <selection activeCell="M10" sqref="M10"/>
    </sheetView>
  </sheetViews>
  <sheetFormatPr defaultRowHeight="14.4" x14ac:dyDescent="0.3"/>
  <cols>
    <col min="1" max="1" width="8.88671875" style="1"/>
    <col min="2" max="2" width="15.6640625" style="1" bestFit="1" customWidth="1"/>
    <col min="3" max="3" width="16.44140625" style="1" bestFit="1" customWidth="1"/>
    <col min="4" max="4" width="13.5546875" style="1" bestFit="1" customWidth="1"/>
    <col min="5" max="5" width="16.77734375" style="1" bestFit="1" customWidth="1"/>
    <col min="6" max="6" width="17.109375" style="1" bestFit="1" customWidth="1"/>
    <col min="7" max="7" width="17.33203125" style="12" customWidth="1"/>
    <col min="8" max="16384" width="8.88671875" style="1"/>
  </cols>
  <sheetData>
    <row r="1" spans="2:13" ht="18" x14ac:dyDescent="0.35">
      <c r="B1" s="15" t="s">
        <v>24</v>
      </c>
      <c r="C1" s="15"/>
      <c r="D1" s="15"/>
      <c r="E1" s="15"/>
      <c r="F1" s="15"/>
      <c r="G1" s="15"/>
    </row>
    <row r="3" spans="2:13" x14ac:dyDescent="0.3">
      <c r="B3" s="5" t="s">
        <v>1</v>
      </c>
      <c r="C3" s="5" t="s">
        <v>2</v>
      </c>
      <c r="D3" s="5" t="s">
        <v>3</v>
      </c>
      <c r="E3" s="5" t="s">
        <v>4</v>
      </c>
      <c r="F3" s="5" t="s">
        <v>5</v>
      </c>
      <c r="G3" s="6" t="s">
        <v>6</v>
      </c>
    </row>
    <row r="4" spans="2:13" ht="15.6" x14ac:dyDescent="0.3">
      <c r="B4" s="2" t="s">
        <v>7</v>
      </c>
      <c r="C4" s="2" t="s">
        <v>12</v>
      </c>
      <c r="D4" s="2">
        <v>150</v>
      </c>
      <c r="E4" s="2">
        <f>SUMIF('Barang Masuk'!$E$5:$E$29,Table1[[#This Row],[Nama Barang]],'Barang Masuk'!$F$5:$F$29)</f>
        <v>0</v>
      </c>
      <c r="F4" s="2">
        <f>SUMIF('Barang Keluar '!$E$5:$E$29,Table1[[#This Row],[Nama Barang]],'Barang Keluar '!$F$5:$F$29)</f>
        <v>0</v>
      </c>
      <c r="G4" s="13">
        <f>(Table1[[#This Row],[Barang Masuk]]+Table1[[#This Row],[Stok Awal]])-Table1[[#This Row],[Barang Keluar ]]</f>
        <v>150</v>
      </c>
    </row>
    <row r="5" spans="2:13" ht="15.6" x14ac:dyDescent="0.3">
      <c r="B5" s="2" t="s">
        <v>8</v>
      </c>
      <c r="C5" s="2" t="s">
        <v>13</v>
      </c>
      <c r="D5" s="2">
        <v>5000</v>
      </c>
      <c r="E5" s="2">
        <f>SUMIF('Barang Masuk'!$E$5:$E$29,Table1[[#This Row],[Nama Barang]],'Barang Masuk'!$F$5:$F$29)</f>
        <v>0</v>
      </c>
      <c r="F5" s="2">
        <f>SUMIF('Barang Keluar '!$E$5:$E$29,Table1[[#This Row],[Nama Barang]],'Barang Keluar '!$F$5:$F$29)</f>
        <v>1000</v>
      </c>
      <c r="G5" s="13">
        <f>(Table1[[#This Row],[Barang Masuk]]+Table1[[#This Row],[Stok Awal]])-Table1[[#This Row],[Barang Keluar ]]</f>
        <v>4000</v>
      </c>
    </row>
    <row r="6" spans="2:13" ht="15.6" x14ac:dyDescent="0.3">
      <c r="B6" s="2" t="s">
        <v>9</v>
      </c>
      <c r="C6" s="2" t="s">
        <v>14</v>
      </c>
      <c r="D6" s="2">
        <v>5900</v>
      </c>
      <c r="E6" s="2">
        <f>SUMIF('Barang Masuk'!$E$5:$E$29,Table1[[#This Row],[Nama Barang]],'Barang Masuk'!$F$5:$F$29)</f>
        <v>0</v>
      </c>
      <c r="F6" s="2">
        <f>SUMIF('Barang Keluar '!$E$5:$E$29,Table1[[#This Row],[Nama Barang]],'Barang Keluar '!$F$5:$F$29)</f>
        <v>375</v>
      </c>
      <c r="G6" s="13">
        <f>(Table1[[#This Row],[Barang Masuk]]+Table1[[#This Row],[Stok Awal]])-Table1[[#This Row],[Barang Keluar ]]</f>
        <v>5525</v>
      </c>
    </row>
    <row r="7" spans="2:13" ht="15.6" x14ac:dyDescent="0.3">
      <c r="B7" s="2" t="s">
        <v>10</v>
      </c>
      <c r="C7" s="2" t="s">
        <v>15</v>
      </c>
      <c r="D7" s="2">
        <v>7500</v>
      </c>
      <c r="E7" s="2">
        <f>SUMIF('Barang Masuk'!$E$5:$E$29,Table1[[#This Row],[Nama Barang]],'Barang Masuk'!$F$5:$F$29)</f>
        <v>0</v>
      </c>
      <c r="F7" s="2">
        <f>SUMIF('Barang Keluar '!$E$5:$E$29,Table1[[#This Row],[Nama Barang]],'Barang Keluar '!$F$5:$F$29)</f>
        <v>1500</v>
      </c>
      <c r="G7" s="13">
        <f>(Table1[[#This Row],[Barang Masuk]]+Table1[[#This Row],[Stok Awal]])-Table1[[#This Row],[Barang Keluar ]]</f>
        <v>6000</v>
      </c>
    </row>
    <row r="8" spans="2:13" ht="15.6" x14ac:dyDescent="0.3">
      <c r="B8" s="2" t="s">
        <v>11</v>
      </c>
      <c r="C8" s="2" t="s">
        <v>16</v>
      </c>
      <c r="D8" s="2">
        <v>400</v>
      </c>
      <c r="E8" s="2">
        <f>SUMIF('Barang Masuk'!$E$5:$E$29,Table1[[#This Row],[Nama Barang]],'Barang Masuk'!$F$5:$F$29)</f>
        <v>0</v>
      </c>
      <c r="F8" s="2">
        <f>SUMIF('Barang Keluar '!$E$5:$E$29,Table1[[#This Row],[Nama Barang]],'Barang Keluar '!$F$5:$F$29)</f>
        <v>0</v>
      </c>
      <c r="G8" s="13">
        <f>(Table1[[#This Row],[Barang Masuk]]+Table1[[#This Row],[Stok Awal]])-Table1[[#This Row],[Barang Keluar ]]</f>
        <v>400</v>
      </c>
    </row>
    <row r="9" spans="2:13" ht="15.6" x14ac:dyDescent="0.3">
      <c r="B9" s="2" t="s">
        <v>17</v>
      </c>
      <c r="C9" s="2" t="s">
        <v>18</v>
      </c>
      <c r="D9" s="2">
        <v>0</v>
      </c>
      <c r="E9" s="2">
        <f>SUMIF('Barang Masuk'!$E$5:$E$29,Table1[[#This Row],[Nama Barang]],'Barang Masuk'!$F$5:$F$29)</f>
        <v>0</v>
      </c>
      <c r="F9" s="2">
        <f>SUMIF('Barang Keluar '!$E$5:$E$29,Table1[[#This Row],[Nama Barang]],'Barang Keluar '!$F$5:$F$29)</f>
        <v>0</v>
      </c>
      <c r="G9" s="13">
        <f>(Table1[[#This Row],[Barang Masuk]]+Table1[[#This Row],[Stok Awal]])-Table1[[#This Row],[Barang Keluar ]]</f>
        <v>0</v>
      </c>
      <c r="M9" s="1" t="s">
        <v>32</v>
      </c>
    </row>
    <row r="10" spans="2:13" ht="15.6" x14ac:dyDescent="0.3">
      <c r="B10" s="2" t="s">
        <v>19</v>
      </c>
      <c r="C10" s="2" t="s">
        <v>19</v>
      </c>
      <c r="D10" s="2">
        <v>125</v>
      </c>
      <c r="E10" s="2">
        <f>SUMIF('Barang Masuk'!$E$5:$E$29,Table1[[#This Row],[Nama Barang]],'Barang Masuk'!$F$5:$F$29)</f>
        <v>0</v>
      </c>
      <c r="F10" s="2">
        <f>SUMIF('Barang Keluar '!$E$5:$E$29,Table1[[#This Row],[Nama Barang]],'Barang Keluar '!$F$5:$F$29)</f>
        <v>0</v>
      </c>
      <c r="G10" s="13">
        <f>(Table1[[#This Row],[Barang Masuk]]+Table1[[#This Row],[Stok Awal]])-Table1[[#This Row],[Barang Keluar ]]</f>
        <v>125</v>
      </c>
    </row>
    <row r="11" spans="2:13" x14ac:dyDescent="0.3">
      <c r="B11" s="2" t="s">
        <v>23</v>
      </c>
      <c r="C11" s="2" t="s">
        <v>23</v>
      </c>
      <c r="D11" s="2">
        <v>14975</v>
      </c>
      <c r="E11" s="2">
        <f>SUMIF('Barang Masuk'!$E$5:$E$29,Table1[[#This Row],[Nama Barang]],'Barang Masuk'!$F$5:$F$29)</f>
        <v>0</v>
      </c>
      <c r="F11" s="2">
        <f>SUMIF('Barang Keluar '!$E$5:$E$29,Table1[[#This Row],[Nama Barang]],'Barang Keluar '!$F$5:$F$29)</f>
        <v>0</v>
      </c>
      <c r="G11" s="10">
        <f>(Table1[[#This Row],[Barang Masuk]]+Table1[[#This Row],[Stok Awal]])-Table1[[#This Row],[Barang Keluar ]]</f>
        <v>14975</v>
      </c>
    </row>
    <row r="12" spans="2:13" x14ac:dyDescent="0.3">
      <c r="B12" s="2" t="s">
        <v>31</v>
      </c>
      <c r="C12" s="2" t="s">
        <v>30</v>
      </c>
      <c r="D12" s="2">
        <v>6425</v>
      </c>
      <c r="E12" s="2">
        <f>SUMIF('Barang Masuk'!$E$5:$E$29,Table1[[#This Row],[Nama Barang]],'Barang Masuk'!$F$5:$F$29)</f>
        <v>0</v>
      </c>
      <c r="F12" s="2">
        <f>SUMIF('Barang Keluar '!$E$5:$E$29,Table1[[#This Row],[Nama Barang]],'Barang Keluar '!$F$5:$F$29)</f>
        <v>25</v>
      </c>
      <c r="G12" s="10">
        <f>(Table1[[#This Row],[Barang Masuk]]+Table1[[#This Row],[Stok Awal]])-Table1[[#This Row],[Barang Keluar ]]</f>
        <v>6400</v>
      </c>
    </row>
    <row r="13" spans="2:13" x14ac:dyDescent="0.3">
      <c r="B13" s="2"/>
      <c r="C13" s="2"/>
      <c r="D13" s="2"/>
      <c r="E13" s="2">
        <f>SUMIF('Barang Masuk'!$E$5:$E$29,Table1[[#This Row],[Nama Barang]],'Barang Masuk'!$F$5:$F$29)</f>
        <v>0</v>
      </c>
      <c r="F13" s="2">
        <f>SUMIF('Barang Keluar '!$E$5:$E$29,Table1[[#This Row],[Nama Barang]],'Barang Keluar '!$F$5:$F$29)</f>
        <v>0</v>
      </c>
      <c r="G13" s="10">
        <f>(Table1[[#This Row],[Barang Masuk]]+Table1[[#This Row],[Stok Awal]])-Table1[[#This Row],[Barang Keluar ]]</f>
        <v>0</v>
      </c>
    </row>
    <row r="14" spans="2:13" x14ac:dyDescent="0.3">
      <c r="B14" s="2"/>
      <c r="C14" s="2"/>
      <c r="D14" s="2"/>
      <c r="E14" s="2">
        <f>SUMIF('Barang Masuk'!$E$5:$E$29,Table1[[#This Row],[Nama Barang]],'Barang Masuk'!$F$5:$F$29)</f>
        <v>0</v>
      </c>
      <c r="F14" s="2">
        <f>SUMIF('Barang Keluar '!$E$5:$E$29,Table1[[#This Row],[Nama Barang]],'Barang Keluar '!$F$5:$F$29)</f>
        <v>0</v>
      </c>
      <c r="G14" s="10">
        <f>(Table1[[#This Row],[Barang Masuk]]+Table1[[#This Row],[Stok Awal]])-Table1[[#This Row],[Barang Keluar ]]</f>
        <v>0</v>
      </c>
    </row>
    <row r="15" spans="2:13" x14ac:dyDescent="0.3">
      <c r="B15" s="2"/>
      <c r="C15" s="2"/>
      <c r="D15" s="2"/>
      <c r="E15" s="2">
        <f>SUMIF('Barang Masuk'!$E$5:$E$29,Table1[[#This Row],[Nama Barang]],'Barang Masuk'!$F$5:$F$29)</f>
        <v>0</v>
      </c>
      <c r="F15" s="2">
        <f>SUMIF('Barang Keluar '!$E$5:$E$29,Table1[[#This Row],[Nama Barang]],'Barang Keluar '!$F$5:$F$29)</f>
        <v>0</v>
      </c>
      <c r="G15" s="10">
        <f>(Table1[[#This Row],[Barang Masuk]]+Table1[[#This Row],[Stok Awal]])-Table1[[#This Row],[Barang Keluar ]]</f>
        <v>0</v>
      </c>
    </row>
    <row r="16" spans="2:13" x14ac:dyDescent="0.3">
      <c r="B16" s="2"/>
      <c r="C16" s="2"/>
      <c r="D16" s="2"/>
      <c r="E16" s="2">
        <f>SUMIF('Barang Masuk'!$E$5:$E$29,Table1[[#This Row],[Nama Barang]],'Barang Masuk'!$F$5:$F$29)</f>
        <v>0</v>
      </c>
      <c r="F16" s="2">
        <f>SUMIF('Barang Keluar '!$E$5:$E$29,Table1[[#This Row],[Nama Barang]],'Barang Keluar '!$F$5:$F$29)</f>
        <v>0</v>
      </c>
      <c r="G16" s="10">
        <f>(Table1[[#This Row],[Barang Masuk]]+Table1[[#This Row],[Stok Awal]])-Table1[[#This Row],[Barang Keluar ]]</f>
        <v>0</v>
      </c>
    </row>
    <row r="17" spans="2:7" x14ac:dyDescent="0.3">
      <c r="B17" s="2"/>
      <c r="C17" s="2"/>
      <c r="D17" s="2"/>
      <c r="E17" s="2">
        <f>SUMIF('Barang Masuk'!$E$5:$E$29,Table1[[#This Row],[Nama Barang]],'Barang Masuk'!$F$5:$F$29)</f>
        <v>0</v>
      </c>
      <c r="F17" s="2">
        <f>SUMIF('Barang Keluar '!$E$5:$E$29,Table1[[#This Row],[Nama Barang]],'Barang Keluar '!$F$5:$F$29)</f>
        <v>0</v>
      </c>
      <c r="G17" s="10">
        <f>(Table1[[#This Row],[Barang Masuk]]+Table1[[#This Row],[Stok Awal]])-Table1[[#This Row],[Barang Keluar ]]</f>
        <v>0</v>
      </c>
    </row>
    <row r="18" spans="2:7" x14ac:dyDescent="0.3">
      <c r="B18" s="2"/>
      <c r="C18" s="2"/>
      <c r="D18" s="2"/>
      <c r="E18" s="2">
        <f>SUMIF('Barang Masuk'!$E$5:$E$29,Table1[[#This Row],[Nama Barang]],'Barang Masuk'!$F$5:$F$29)</f>
        <v>0</v>
      </c>
      <c r="F18" s="2">
        <f>SUMIF('Barang Keluar '!$E$5:$E$29,Table1[[#This Row],[Nama Barang]],'Barang Keluar '!$F$5:$F$29)</f>
        <v>0</v>
      </c>
      <c r="G18" s="10">
        <f>(Table1[[#This Row],[Barang Masuk]]+Table1[[#This Row],[Stok Awal]])-Table1[[#This Row],[Barang Keluar ]]</f>
        <v>0</v>
      </c>
    </row>
    <row r="19" spans="2:7" x14ac:dyDescent="0.3">
      <c r="B19" s="2"/>
      <c r="C19" s="2"/>
      <c r="D19" s="2"/>
      <c r="E19" s="2">
        <f>SUMIF('Barang Masuk'!$E$5:$E$29,Table1[[#This Row],[Nama Barang]],'Barang Masuk'!$F$5:$F$29)</f>
        <v>0</v>
      </c>
      <c r="F19" s="2">
        <f>SUMIF('Barang Keluar '!$E$5:$E$29,Table1[[#This Row],[Nama Barang]],'Barang Keluar '!$F$5:$F$29)</f>
        <v>0</v>
      </c>
      <c r="G19" s="10">
        <f>(Table1[[#This Row],[Barang Masuk]]+Table1[[#This Row],[Stok Awal]])-Table1[[#This Row],[Barang Keluar ]]</f>
        <v>0</v>
      </c>
    </row>
    <row r="20" spans="2:7" x14ac:dyDescent="0.3">
      <c r="B20" s="2"/>
      <c r="C20" s="2"/>
      <c r="D20" s="2"/>
      <c r="E20" s="2">
        <f>SUMIF('Barang Masuk'!$E$5:$E$29,Table1[[#This Row],[Nama Barang]],'Barang Masuk'!$F$5:$F$29)</f>
        <v>0</v>
      </c>
      <c r="F20" s="2">
        <f>SUMIF('Barang Keluar '!$E$5:$E$29,Table1[[#This Row],[Nama Barang]],'Barang Keluar '!$F$5:$F$29)</f>
        <v>0</v>
      </c>
      <c r="G20" s="10">
        <f>(Table1[[#This Row],[Barang Masuk]]+Table1[[#This Row],[Stok Awal]])-Table1[[#This Row],[Barang Keluar ]]</f>
        <v>0</v>
      </c>
    </row>
    <row r="21" spans="2:7" x14ac:dyDescent="0.3">
      <c r="B21" s="4"/>
      <c r="C21" s="4"/>
      <c r="D21" s="4"/>
      <c r="E21" s="2">
        <f>SUMIF('Barang Masuk'!$E$5:$E$29,Table1[[#This Row],[Nama Barang]],'Barang Masuk'!$F$5:$F$29)</f>
        <v>0</v>
      </c>
      <c r="F21" s="2">
        <f>SUMIF('Barang Keluar '!$E$5:$E$29,Table1[[#This Row],[Nama Barang]],'Barang Keluar '!$F$5:$F$29)</f>
        <v>0</v>
      </c>
      <c r="G21" s="11">
        <f>(Table1[[#This Row],[Barang Masuk]]+Table1[[#This Row],[Stok Awal]])-Table1[[#This Row],[Barang Keluar ]]</f>
        <v>0</v>
      </c>
    </row>
  </sheetData>
  <mergeCells count="1">
    <mergeCell ref="B1:G1"/>
  </mergeCells>
  <conditionalFormatting sqref="G4:G10">
    <cfRule type="cellIs" dxfId="4" priority="2" operator="greaterThan">
      <formula>500</formula>
    </cfRule>
    <cfRule type="cellIs" dxfId="3" priority="3" operator="lessThan">
      <formula>500</formula>
    </cfRule>
  </conditionalFormatting>
  <conditionalFormatting sqref="G1:G1048576">
    <cfRule type="cellIs" dxfId="0" priority="1" operator="greaterThan">
      <formula>3999</formula>
    </cfRule>
  </conditionalFormatting>
  <pageMargins left="0.7" right="0.7" top="0.75" bottom="0.75" header="0.3" footer="0.3"/>
  <legacy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8DA0C-37B1-4354-B038-CA23BB50DFD0}">
  <dimension ref="B4:F29"/>
  <sheetViews>
    <sheetView workbookViewId="0">
      <selection activeCell="F5" sqref="F5:F6"/>
    </sheetView>
  </sheetViews>
  <sheetFormatPr defaultRowHeight="14.4" x14ac:dyDescent="0.3"/>
  <cols>
    <col min="3" max="3" width="10.33203125" bestFit="1" customWidth="1"/>
    <col min="4" max="4" width="11" bestFit="1" customWidth="1"/>
    <col min="5" max="5" width="18.44140625" bestFit="1" customWidth="1"/>
    <col min="6" max="6" width="22.44140625" bestFit="1" customWidth="1"/>
  </cols>
  <sheetData>
    <row r="4" spans="2:6" x14ac:dyDescent="0.3">
      <c r="B4" s="3" t="s">
        <v>0</v>
      </c>
      <c r="C4" s="3" t="s">
        <v>20</v>
      </c>
      <c r="D4" s="3" t="s">
        <v>1</v>
      </c>
      <c r="E4" s="3" t="s">
        <v>2</v>
      </c>
      <c r="F4" s="3" t="s">
        <v>21</v>
      </c>
    </row>
    <row r="5" spans="2:6" x14ac:dyDescent="0.3">
      <c r="B5" s="8">
        <v>1</v>
      </c>
      <c r="C5" s="9"/>
      <c r="D5" s="7"/>
      <c r="E5" s="7" t="str">
        <f>IFERROR(VLOOKUP(D5,Table1[#All],2,0),"")</f>
        <v/>
      </c>
      <c r="F5" s="7"/>
    </row>
    <row r="6" spans="2:6" x14ac:dyDescent="0.3">
      <c r="B6" s="8">
        <v>2</v>
      </c>
      <c r="C6" s="9"/>
      <c r="D6" s="7"/>
      <c r="E6" s="7" t="str">
        <f>IFERROR(VLOOKUP(D6,Table1[#All],2,0),"")</f>
        <v/>
      </c>
      <c r="F6" s="7"/>
    </row>
    <row r="7" spans="2:6" x14ac:dyDescent="0.3">
      <c r="B7" s="8">
        <v>3</v>
      </c>
      <c r="C7" s="7"/>
      <c r="D7" s="7"/>
      <c r="E7" s="7" t="str">
        <f>IFERROR(VLOOKUP(D7,Table1[#All],2,0),"")</f>
        <v/>
      </c>
      <c r="F7" s="7"/>
    </row>
    <row r="8" spans="2:6" x14ac:dyDescent="0.3">
      <c r="B8" s="8">
        <v>4</v>
      </c>
      <c r="C8" s="7"/>
      <c r="D8" s="7"/>
      <c r="E8" s="7" t="str">
        <f>IFERROR(VLOOKUP(D8,Table1[#All],2,0),"")</f>
        <v/>
      </c>
      <c r="F8" s="7"/>
    </row>
    <row r="9" spans="2:6" x14ac:dyDescent="0.3">
      <c r="B9" s="8">
        <v>5</v>
      </c>
      <c r="C9" s="7"/>
      <c r="D9" s="7"/>
      <c r="E9" s="7" t="str">
        <f>IFERROR(VLOOKUP(D9,Table1[#All],2,0),"")</f>
        <v/>
      </c>
      <c r="F9" s="7"/>
    </row>
    <row r="10" spans="2:6" x14ac:dyDescent="0.3">
      <c r="B10" s="8">
        <v>6</v>
      </c>
      <c r="C10" s="7"/>
      <c r="D10" s="7"/>
      <c r="E10" s="7" t="str">
        <f>IFERROR(VLOOKUP(D10,Table1[#All],2,0),"")</f>
        <v/>
      </c>
      <c r="F10" s="7"/>
    </row>
    <row r="11" spans="2:6" x14ac:dyDescent="0.3">
      <c r="B11" s="8">
        <v>7</v>
      </c>
      <c r="C11" s="7"/>
      <c r="D11" s="7"/>
      <c r="E11" s="7" t="str">
        <f>IFERROR(VLOOKUP(D11,Table1[#All],2,0),"")</f>
        <v/>
      </c>
      <c r="F11" s="7"/>
    </row>
    <row r="12" spans="2:6" x14ac:dyDescent="0.3">
      <c r="B12" s="8">
        <v>8</v>
      </c>
      <c r="C12" s="7"/>
      <c r="D12" s="7"/>
      <c r="E12" s="7" t="str">
        <f>IFERROR(VLOOKUP(D12,Table1[#All],2,0),"")</f>
        <v/>
      </c>
      <c r="F12" s="7"/>
    </row>
    <row r="13" spans="2:6" x14ac:dyDescent="0.3">
      <c r="B13" s="8">
        <v>9</v>
      </c>
      <c r="C13" s="7"/>
      <c r="D13" s="7"/>
      <c r="E13" s="7" t="str">
        <f>IFERROR(VLOOKUP(D13,Table1[#All],2,0),"")</f>
        <v/>
      </c>
      <c r="F13" s="7"/>
    </row>
    <row r="14" spans="2:6" x14ac:dyDescent="0.3">
      <c r="B14" s="8">
        <v>10</v>
      </c>
      <c r="C14" s="7"/>
      <c r="D14" s="7"/>
      <c r="E14" s="7" t="str">
        <f>IFERROR(VLOOKUP(D14,Table1[#All],2,0),"")</f>
        <v/>
      </c>
      <c r="F14" s="7"/>
    </row>
    <row r="15" spans="2:6" x14ac:dyDescent="0.3">
      <c r="B15" s="8">
        <v>11</v>
      </c>
      <c r="C15" s="7"/>
      <c r="D15" s="7"/>
      <c r="E15" s="7" t="str">
        <f>IFERROR(VLOOKUP(D15,Table1[#All],2,0),"")</f>
        <v/>
      </c>
      <c r="F15" s="7"/>
    </row>
    <row r="16" spans="2:6" x14ac:dyDescent="0.3">
      <c r="B16" s="8">
        <v>12</v>
      </c>
      <c r="C16" s="7"/>
      <c r="D16" s="7"/>
      <c r="E16" s="7" t="str">
        <f>IFERROR(VLOOKUP(D16,Table1[#All],2,0),"")</f>
        <v/>
      </c>
      <c r="F16" s="7"/>
    </row>
    <row r="17" spans="2:6" x14ac:dyDescent="0.3">
      <c r="B17" s="8">
        <v>13</v>
      </c>
      <c r="C17" s="7"/>
      <c r="D17" s="7"/>
      <c r="E17" s="7" t="str">
        <f>IFERROR(VLOOKUP(D17,Table1[#All],2,0),"")</f>
        <v/>
      </c>
      <c r="F17" s="7"/>
    </row>
    <row r="18" spans="2:6" x14ac:dyDescent="0.3">
      <c r="B18" s="8">
        <v>14</v>
      </c>
      <c r="C18" s="7"/>
      <c r="D18" s="7"/>
      <c r="E18" s="7" t="str">
        <f>IFERROR(VLOOKUP(D18,Table1[#All],2,0),"")</f>
        <v/>
      </c>
      <c r="F18" s="7"/>
    </row>
    <row r="19" spans="2:6" x14ac:dyDescent="0.3">
      <c r="B19" s="8">
        <v>15</v>
      </c>
      <c r="C19" s="7"/>
      <c r="D19" s="7"/>
      <c r="E19" s="7" t="str">
        <f>IFERROR(VLOOKUP(D19,Table1[#All],2,0),"")</f>
        <v/>
      </c>
      <c r="F19" s="7"/>
    </row>
    <row r="20" spans="2:6" x14ac:dyDescent="0.3">
      <c r="B20" s="8">
        <v>16</v>
      </c>
      <c r="C20" s="7"/>
      <c r="D20" s="7"/>
      <c r="E20" s="7" t="str">
        <f>IFERROR(VLOOKUP(D20,Table1[#All],2,0),"")</f>
        <v/>
      </c>
      <c r="F20" s="7"/>
    </row>
    <row r="21" spans="2:6" x14ac:dyDescent="0.3">
      <c r="B21" s="8">
        <v>17</v>
      </c>
      <c r="C21" s="7"/>
      <c r="D21" s="7"/>
      <c r="E21" s="7" t="str">
        <f>IFERROR(VLOOKUP(D21,Table1[#All],2,0),"")</f>
        <v/>
      </c>
      <c r="F21" s="7"/>
    </row>
    <row r="22" spans="2:6" x14ac:dyDescent="0.3">
      <c r="B22" s="8">
        <v>18</v>
      </c>
      <c r="C22" s="7"/>
      <c r="D22" s="7"/>
      <c r="E22" s="7" t="str">
        <f>IFERROR(VLOOKUP(D22,Table1[#All],2,0),"")</f>
        <v/>
      </c>
      <c r="F22" s="7"/>
    </row>
    <row r="23" spans="2:6" x14ac:dyDescent="0.3">
      <c r="B23" s="8">
        <v>19</v>
      </c>
      <c r="C23" s="7"/>
      <c r="D23" s="7"/>
      <c r="E23" s="7" t="str">
        <f>IFERROR(VLOOKUP(D23,Table1[#All],2,0),"")</f>
        <v/>
      </c>
      <c r="F23" s="7"/>
    </row>
    <row r="24" spans="2:6" x14ac:dyDescent="0.3">
      <c r="B24" s="8">
        <v>20</v>
      </c>
      <c r="C24" s="7"/>
      <c r="D24" s="7"/>
      <c r="E24" s="7" t="str">
        <f>IFERROR(VLOOKUP(D24,Table1[#All],2,0),"")</f>
        <v/>
      </c>
      <c r="F24" s="7"/>
    </row>
    <row r="25" spans="2:6" x14ac:dyDescent="0.3">
      <c r="B25" s="8">
        <v>21</v>
      </c>
      <c r="C25" s="7"/>
      <c r="D25" s="7"/>
      <c r="E25" s="7" t="str">
        <f>IFERROR(VLOOKUP(D25,Table1[#All],2,0),"")</f>
        <v/>
      </c>
      <c r="F25" s="7"/>
    </row>
    <row r="26" spans="2:6" x14ac:dyDescent="0.3">
      <c r="B26" s="8">
        <v>22</v>
      </c>
      <c r="C26" s="7"/>
      <c r="D26" s="7"/>
      <c r="E26" s="7" t="str">
        <f>IFERROR(VLOOKUP(D26,Table1[#All],2,0),"")</f>
        <v/>
      </c>
      <c r="F26" s="7"/>
    </row>
    <row r="27" spans="2:6" x14ac:dyDescent="0.3">
      <c r="B27" s="8">
        <v>23</v>
      </c>
      <c r="C27" s="7"/>
      <c r="D27" s="7"/>
      <c r="E27" s="7" t="str">
        <f>IFERROR(VLOOKUP(D27,Table1[#All],2,0),"")</f>
        <v/>
      </c>
      <c r="F27" s="7"/>
    </row>
    <row r="28" spans="2:6" x14ac:dyDescent="0.3">
      <c r="B28" s="8">
        <v>24</v>
      </c>
      <c r="C28" s="7"/>
      <c r="D28" s="7"/>
      <c r="E28" s="7" t="str">
        <f>IFERROR(VLOOKUP(D28,Table1[#All],2,0),"")</f>
        <v/>
      </c>
      <c r="F28" s="7"/>
    </row>
    <row r="29" spans="2:6" x14ac:dyDescent="0.3">
      <c r="B29" s="8">
        <v>25</v>
      </c>
      <c r="C29" s="7"/>
      <c r="D29" s="7"/>
      <c r="E29" s="7" t="str">
        <f>IFERROR(VLOOKUP(D29,Table1[#All],2,0),"")</f>
        <v/>
      </c>
      <c r="F29" s="7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35F1762D-0D0A-4519-83C7-B5898CF5EBE3}">
          <x14:formula1>
            <xm:f>'Stock Barang'!$B$4:$B$10</xm:f>
          </x14:formula1>
          <xm:sqref>D6:D29</xm:sqref>
        </x14:dataValidation>
        <x14:dataValidation type="list" allowBlank="1" showInputMessage="1" showErrorMessage="1" xr:uid="{0D65E546-4D61-47C3-85CE-599EC7612871}">
          <x14:formula1>
            <xm:f>'Stock Barang'!$B$4:$B$11</xm:f>
          </x14:formula1>
          <xm:sqref>D5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C4F271-B1B8-49EF-AE8E-5ADDB846D57A}">
  <dimension ref="B4:K29"/>
  <sheetViews>
    <sheetView workbookViewId="0">
      <selection activeCell="C7" sqref="C7"/>
    </sheetView>
  </sheetViews>
  <sheetFormatPr defaultRowHeight="14.4" x14ac:dyDescent="0.3"/>
  <cols>
    <col min="3" max="3" width="10.33203125" bestFit="1" customWidth="1"/>
    <col min="4" max="4" width="11" bestFit="1" customWidth="1"/>
    <col min="5" max="5" width="18.44140625" bestFit="1" customWidth="1"/>
    <col min="6" max="6" width="22.44140625" bestFit="1" customWidth="1"/>
  </cols>
  <sheetData>
    <row r="4" spans="2:11" x14ac:dyDescent="0.3">
      <c r="B4" s="3" t="s">
        <v>0</v>
      </c>
      <c r="C4" s="3" t="s">
        <v>20</v>
      </c>
      <c r="D4" s="3" t="s">
        <v>1</v>
      </c>
      <c r="E4" s="3" t="s">
        <v>2</v>
      </c>
      <c r="F4" s="3" t="s">
        <v>22</v>
      </c>
      <c r="G4" s="14" t="s">
        <v>25</v>
      </c>
      <c r="H4" s="14" t="s">
        <v>28</v>
      </c>
    </row>
    <row r="5" spans="2:11" x14ac:dyDescent="0.3">
      <c r="B5" s="8">
        <v>1</v>
      </c>
      <c r="C5" s="9">
        <v>46265</v>
      </c>
      <c r="D5" s="7" t="s">
        <v>10</v>
      </c>
      <c r="E5" s="7" t="str">
        <f>IFERROR(VLOOKUP(D5,Table1[#All],2,0),"")</f>
        <v>Kapur</v>
      </c>
      <c r="F5" s="7">
        <v>250</v>
      </c>
      <c r="G5" t="s">
        <v>26</v>
      </c>
      <c r="K5" t="s">
        <v>26</v>
      </c>
    </row>
    <row r="6" spans="2:11" x14ac:dyDescent="0.3">
      <c r="B6" s="8">
        <v>2</v>
      </c>
      <c r="C6" s="9">
        <v>46265</v>
      </c>
      <c r="D6" s="7" t="s">
        <v>9</v>
      </c>
      <c r="E6" s="7" t="str">
        <f>IFERROR(VLOOKUP(D6,Table1[#All],2,0),"")</f>
        <v>Sandios</v>
      </c>
      <c r="F6" s="7">
        <v>375</v>
      </c>
      <c r="G6" t="s">
        <v>26</v>
      </c>
      <c r="H6" t="s">
        <v>29</v>
      </c>
      <c r="J6" t="s">
        <v>9</v>
      </c>
      <c r="K6" t="s">
        <v>27</v>
      </c>
    </row>
    <row r="7" spans="2:11" x14ac:dyDescent="0.3">
      <c r="B7" s="8">
        <v>3</v>
      </c>
      <c r="C7" s="9">
        <v>46266</v>
      </c>
      <c r="D7" s="7" t="s">
        <v>8</v>
      </c>
      <c r="E7" s="7" t="str">
        <f>IFERROR(VLOOKUP(D7,Table1[#All],2,0),"")</f>
        <v>Carbon</v>
      </c>
      <c r="F7" s="7">
        <v>1000</v>
      </c>
      <c r="G7" t="s">
        <v>26</v>
      </c>
      <c r="H7" t="s">
        <v>29</v>
      </c>
      <c r="J7" t="s">
        <v>8</v>
      </c>
    </row>
    <row r="8" spans="2:11" x14ac:dyDescent="0.3">
      <c r="B8" s="8">
        <v>4</v>
      </c>
      <c r="C8" s="9">
        <v>46266</v>
      </c>
      <c r="D8" s="7" t="s">
        <v>10</v>
      </c>
      <c r="E8" s="7" t="str">
        <f>IFERROR(VLOOKUP(D8,Table1[#All],2,0),"")</f>
        <v>Kapur</v>
      </c>
      <c r="F8" s="7">
        <v>1250</v>
      </c>
      <c r="G8" t="s">
        <v>26</v>
      </c>
      <c r="J8" t="s">
        <v>10</v>
      </c>
    </row>
    <row r="9" spans="2:11" x14ac:dyDescent="0.3">
      <c r="B9" s="8">
        <v>5</v>
      </c>
      <c r="C9" s="9">
        <v>46266</v>
      </c>
      <c r="D9" s="7" t="s">
        <v>31</v>
      </c>
      <c r="E9" s="7" t="str">
        <f>IFERROR(VLOOKUP(D9,Table1[#All],2,0),"")</f>
        <v>Floculant</v>
      </c>
      <c r="F9" s="7">
        <v>25</v>
      </c>
      <c r="G9" t="s">
        <v>26</v>
      </c>
    </row>
    <row r="10" spans="2:11" x14ac:dyDescent="0.3">
      <c r="B10" s="8">
        <v>6</v>
      </c>
      <c r="C10" s="7"/>
      <c r="D10" s="7"/>
      <c r="E10" s="7" t="str">
        <f>IFERROR(VLOOKUP(D10,Table1[#All],2,0),"")</f>
        <v/>
      </c>
      <c r="F10" s="7"/>
      <c r="G10" t="s">
        <v>26</v>
      </c>
    </row>
    <row r="11" spans="2:11" x14ac:dyDescent="0.3">
      <c r="B11" s="8">
        <v>7</v>
      </c>
      <c r="C11" s="7"/>
      <c r="D11" s="7"/>
      <c r="E11" s="7" t="str">
        <f>IFERROR(VLOOKUP(D11,Table1[#All],2,0),"")</f>
        <v/>
      </c>
      <c r="F11" s="7"/>
      <c r="G11" t="s">
        <v>26</v>
      </c>
    </row>
    <row r="12" spans="2:11" x14ac:dyDescent="0.3">
      <c r="B12" s="8">
        <v>8</v>
      </c>
      <c r="C12" s="7"/>
      <c r="D12" s="7"/>
      <c r="E12" s="7" t="str">
        <f>IFERROR(VLOOKUP(D12,Table1[#All],2,0),"")</f>
        <v/>
      </c>
      <c r="F12" s="7"/>
      <c r="G12" t="s">
        <v>26</v>
      </c>
    </row>
    <row r="13" spans="2:11" x14ac:dyDescent="0.3">
      <c r="B13" s="8">
        <v>9</v>
      </c>
      <c r="C13" s="7"/>
      <c r="D13" s="7"/>
      <c r="E13" s="7" t="str">
        <f>IFERROR(VLOOKUP(D13,Table1[#All],2,0),"")</f>
        <v/>
      </c>
      <c r="F13" s="7"/>
      <c r="G13" t="s">
        <v>26</v>
      </c>
    </row>
    <row r="14" spans="2:11" x14ac:dyDescent="0.3">
      <c r="B14" s="8">
        <v>10</v>
      </c>
      <c r="C14" s="7"/>
      <c r="D14" s="7"/>
      <c r="E14" s="7" t="str">
        <f>IFERROR(VLOOKUP(D14,Table1[#All],2,0),"")</f>
        <v/>
      </c>
      <c r="F14" s="7"/>
      <c r="G14" t="s">
        <v>26</v>
      </c>
    </row>
    <row r="15" spans="2:11" x14ac:dyDescent="0.3">
      <c r="B15" s="8">
        <v>11</v>
      </c>
      <c r="C15" s="7"/>
      <c r="D15" s="7"/>
      <c r="E15" s="7" t="str">
        <f>IFERROR(VLOOKUP(D15,Table1[#All],2,0),"")</f>
        <v/>
      </c>
      <c r="F15" s="7"/>
      <c r="G15" t="s">
        <v>26</v>
      </c>
    </row>
    <row r="16" spans="2:11" x14ac:dyDescent="0.3">
      <c r="B16" s="8">
        <v>12</v>
      </c>
      <c r="C16" s="7"/>
      <c r="D16" s="7"/>
      <c r="E16" s="7" t="str">
        <f>IFERROR(VLOOKUP(D16,Table1[#All],2,0),"")</f>
        <v/>
      </c>
      <c r="F16" s="7"/>
      <c r="G16" t="s">
        <v>26</v>
      </c>
    </row>
    <row r="17" spans="2:7" x14ac:dyDescent="0.3">
      <c r="B17" s="8">
        <v>13</v>
      </c>
      <c r="C17" s="7"/>
      <c r="D17" s="7"/>
      <c r="E17" s="7" t="str">
        <f>IFERROR(VLOOKUP(D17,Table1[#All],2,0),"")</f>
        <v/>
      </c>
      <c r="F17" s="7"/>
      <c r="G17" t="s">
        <v>26</v>
      </c>
    </row>
    <row r="18" spans="2:7" x14ac:dyDescent="0.3">
      <c r="B18" s="8">
        <v>14</v>
      </c>
      <c r="C18" s="7"/>
      <c r="D18" s="7"/>
      <c r="E18" s="7" t="str">
        <f>IFERROR(VLOOKUP(D18,Table1[#All],2,0),"")</f>
        <v/>
      </c>
      <c r="F18" s="7"/>
      <c r="G18" t="s">
        <v>26</v>
      </c>
    </row>
    <row r="19" spans="2:7" x14ac:dyDescent="0.3">
      <c r="B19" s="8">
        <v>15</v>
      </c>
      <c r="C19" s="7"/>
      <c r="D19" s="7"/>
      <c r="E19" s="7" t="str">
        <f>IFERROR(VLOOKUP(D19,Table1[#All],2,0),"")</f>
        <v/>
      </c>
      <c r="F19" s="7"/>
      <c r="G19" t="s">
        <v>26</v>
      </c>
    </row>
    <row r="20" spans="2:7" x14ac:dyDescent="0.3">
      <c r="B20" s="8">
        <v>16</v>
      </c>
      <c r="C20" s="7"/>
      <c r="D20" s="7"/>
      <c r="E20" s="7" t="str">
        <f>IFERROR(VLOOKUP(D20,Table1[#All],2,0),"")</f>
        <v/>
      </c>
      <c r="F20" s="7"/>
      <c r="G20" t="s">
        <v>26</v>
      </c>
    </row>
    <row r="21" spans="2:7" x14ac:dyDescent="0.3">
      <c r="B21" s="8">
        <v>17</v>
      </c>
      <c r="C21" s="7"/>
      <c r="D21" s="7"/>
      <c r="E21" s="7" t="str">
        <f>IFERROR(VLOOKUP(D21,Table1[#All],2,0),"")</f>
        <v/>
      </c>
      <c r="F21" s="7"/>
      <c r="G21" t="s">
        <v>26</v>
      </c>
    </row>
    <row r="22" spans="2:7" x14ac:dyDescent="0.3">
      <c r="B22" s="8">
        <v>18</v>
      </c>
      <c r="C22" s="7"/>
      <c r="D22" s="7"/>
      <c r="E22" s="7" t="str">
        <f>IFERROR(VLOOKUP(D22,Table1[#All],2,0),"")</f>
        <v/>
      </c>
      <c r="F22" s="7"/>
      <c r="G22" t="s">
        <v>26</v>
      </c>
    </row>
    <row r="23" spans="2:7" x14ac:dyDescent="0.3">
      <c r="B23" s="8">
        <v>19</v>
      </c>
      <c r="C23" s="7"/>
      <c r="D23" s="7"/>
      <c r="E23" s="7" t="str">
        <f>IFERROR(VLOOKUP(D23,Table1[#All],2,0),"")</f>
        <v/>
      </c>
      <c r="F23" s="7"/>
      <c r="G23" t="s">
        <v>26</v>
      </c>
    </row>
    <row r="24" spans="2:7" x14ac:dyDescent="0.3">
      <c r="B24" s="8">
        <v>20</v>
      </c>
      <c r="C24" s="7"/>
      <c r="D24" s="7"/>
      <c r="E24" s="7" t="str">
        <f>IFERROR(VLOOKUP(D24,Table1[#All],2,0),"")</f>
        <v/>
      </c>
      <c r="F24" s="7"/>
      <c r="G24" t="s">
        <v>26</v>
      </c>
    </row>
    <row r="25" spans="2:7" x14ac:dyDescent="0.3">
      <c r="B25" s="8">
        <v>21</v>
      </c>
      <c r="C25" s="7"/>
      <c r="D25" s="7"/>
      <c r="E25" s="7" t="str">
        <f>IFERROR(VLOOKUP(D25,Table1[#All],2,0),"")</f>
        <v/>
      </c>
      <c r="F25" s="7"/>
      <c r="G25" t="s">
        <v>26</v>
      </c>
    </row>
    <row r="26" spans="2:7" x14ac:dyDescent="0.3">
      <c r="B26" s="8">
        <v>22</v>
      </c>
      <c r="C26" s="7"/>
      <c r="D26" s="7"/>
      <c r="E26" s="7" t="str">
        <f>IFERROR(VLOOKUP(D26,Table1[#All],2,0),"")</f>
        <v/>
      </c>
      <c r="F26" s="7"/>
      <c r="G26" t="s">
        <v>26</v>
      </c>
    </row>
    <row r="27" spans="2:7" x14ac:dyDescent="0.3">
      <c r="B27" s="8">
        <v>23</v>
      </c>
      <c r="C27" s="7"/>
      <c r="D27" s="7"/>
      <c r="E27" s="7" t="str">
        <f>IFERROR(VLOOKUP(D27,Table1[#All],2,0),"")</f>
        <v/>
      </c>
      <c r="F27" s="7"/>
      <c r="G27" t="s">
        <v>26</v>
      </c>
    </row>
    <row r="28" spans="2:7" x14ac:dyDescent="0.3">
      <c r="B28" s="8">
        <v>24</v>
      </c>
      <c r="C28" s="7"/>
      <c r="D28" s="7"/>
      <c r="E28" s="7" t="str">
        <f>IFERROR(VLOOKUP(D28,Table1[#All],2,0),"")</f>
        <v/>
      </c>
      <c r="F28" s="7"/>
      <c r="G28" t="s">
        <v>26</v>
      </c>
    </row>
    <row r="29" spans="2:7" x14ac:dyDescent="0.3">
      <c r="B29" s="8">
        <v>25</v>
      </c>
      <c r="C29" s="7"/>
      <c r="D29" s="7"/>
      <c r="E29" s="7" t="str">
        <f>IFERROR(VLOOKUP(D29,Table1[#All],2,0),"")</f>
        <v/>
      </c>
      <c r="F29" s="7"/>
      <c r="G29" t="s">
        <v>26</v>
      </c>
    </row>
  </sheetData>
  <dataValidations count="1">
    <dataValidation type="list" allowBlank="1" showInputMessage="1" showErrorMessage="1" sqref="G5:G29" xr:uid="{22622720-832E-493C-9FE5-E14BCBC1F784}">
      <formula1>$K$5:$K$6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BD8172C-B508-4C24-BEC5-C810784AE9AE}">
          <x14:formula1>
            <xm:f>'Stock Barang'!$B$4:$B$12</xm:f>
          </x14:formula1>
          <xm:sqref>D5:D29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4DB87B-F02C-41BA-A196-5B8F96176BFB}">
  <dimension ref="A1"/>
  <sheetViews>
    <sheetView workbookViewId="0">
      <selection activeCell="G19" sqref="G19"/>
    </sheetView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Stock Barang</vt:lpstr>
      <vt:lpstr>Barang Masuk</vt:lpstr>
      <vt:lpstr>Barang Keluar </vt:lpstr>
      <vt:lpstr>Sheet4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Dyan Ramdhani</dc:creator>
  <cp:lastModifiedBy>Dyan Ramdhani</cp:lastModifiedBy>
  <dcterms:created xsi:type="dcterms:W3CDTF">2026-07-30T02:28:45Z</dcterms:created>
  <dcterms:modified xsi:type="dcterms:W3CDTF">2026-09-02T02:53:29Z</dcterms:modified>
</cp:coreProperties>
</file>