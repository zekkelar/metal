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1AF07B3-0C8B-46E0-8059-E9A79EC6108B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Sheet4" sheetId="4" r:id="rId3"/>
    <sheet name="Barang Keluar 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8" i="3"/>
  <c r="E5" i="2"/>
  <c r="E6" i="2"/>
  <c r="E6" i="3"/>
  <c r="E7" i="3"/>
  <c r="F11" i="1" l="1"/>
  <c r="F5" i="1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2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<sst xmlns="http://schemas.openxmlformats.org/spreadsheetml/2006/main" count="106" uniqueCount="34">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</sst>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4" dataDxfId="12" headerRowBorderDxfId="13" tableBorderDxfId="11" totalsRowBorderDxfId="10">
  <autoFilter ref="B3:H21" xr:uid="{1AC36863-5F67-4496-A2C7-808F86C284A1}"/>
  <tableColumns count="7">
    <tableColumn id="2" xr3:uid="{E78837C8-954C-440F-BCB4-114AA4EBC159}" name="Kode Barang" dataDxfId="9"/>
    <tableColumn id="3" xr3:uid="{BB8DB245-EB50-4D84-9B3E-D2CF46896708}" name="Nama Barang" dataDxfId="8"/>
    <tableColumn id="4" xr3:uid="{36BAEBBD-D2E7-42F0-B8AF-873903FEFEA9}" name="Stok Awal " dataDxfId="7"/>
    <tableColumn id="5" xr3:uid="{3DA331B5-0C1B-4517-AC2B-660041411D0B}" name="Barang Masuk" dataDxfId="6">
      <calculatedColumnFormula>SUMIF('Barang Masuk'!$E$5:$E$29,Table1[[#This Row],[Nama Barang]],'Barang Masuk'!$F$5:$F$29)</calculatedColumnFormula>
    </tableColumn>
    <tableColumn id="6" xr3:uid="{4231B6CF-326F-44B2-8A60-3DCCDB55861D}" name="Barang Keluar " dataDxfId="5">
      <calculatedColumnFormula>SUMIF('Barang Keluar '!$E$5:$E$29,Table1[[#This Row],[Nama Barang]],'Barang Keluar '!$F$5:$F$29)</calculatedColumnFormula>
    </tableColumn>
    <tableColumn id="7" xr3:uid="{9472852C-4AF5-44FD-A6F5-E9EDEDD511AE}" name="Stock Akhir" dataDxfId="4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tabSelected="1" zoomScale="84" workbookViewId="0">
      <selection activeCell="L9" sqref="L9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6" t="s">
        <v>23</v>
      </c>
      <c r="C1" s="16"/>
      <c r="D1" s="16"/>
      <c r="E1" s="16"/>
      <c r="F1" s="16"/>
      <c r="G1" s="16"/>
    </row>
    <row r="3" spans="2:8" x14ac:dyDescent="0.3">
      <c r="B3" s="5" t="s">
        <v>1</v>
      </c>
      <c r="C3" s="5" t="s">
        <v>2</v>
      </c>
      <c r="D3" s="5" t="s">
        <v>30</v>
      </c>
      <c r="E3" s="5" t="s">
        <v>3</v>
      </c>
      <c r="F3" s="5" t="s">
        <v>4</v>
      </c>
      <c r="G3" s="6" t="s">
        <v>5</v>
      </c>
      <c r="H3" s="5" t="s">
        <v>32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 ]])-Table1[[#This Row],[Barang Keluar ]]</f>
        <v>150</v>
      </c>
      <c r="H4" s="12" t="s">
        <v>33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3000</v>
      </c>
      <c r="G5" s="13">
        <f>(Table1[[#This Row],[Barang Masuk]]+Table1[[#This Row],[Stok Awal ]])-Table1[[#This Row],[Barang Keluar ]]</f>
        <v>2000</v>
      </c>
      <c r="H5" s="12" t="s">
        <v>33</v>
      </c>
    </row>
    <row r="6" spans="2:8" ht="15.6" x14ac:dyDescent="0.3">
      <c r="B6" s="2" t="s">
        <v>8</v>
      </c>
      <c r="C6" s="2" t="s">
        <v>13</v>
      </c>
      <c r="D6" s="2">
        <v>5750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2375</v>
      </c>
      <c r="G6" s="13">
        <f>(Table1[[#This Row],[Barang Masuk]]+Table1[[#This Row],[Stok Awal ]])-Table1[[#This Row],[Barang Keluar ]]</f>
        <v>3375</v>
      </c>
      <c r="H6" s="12" t="s">
        <v>33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5000</v>
      </c>
      <c r="F7" s="2">
        <f>SUMIF('Barang Keluar '!$E$5:$E$29,Table1[[#This Row],[Nama Barang]],'Barang Keluar '!$F$5:$F$29)</f>
        <v>3500</v>
      </c>
      <c r="G7" s="13">
        <f>(Table1[[#This Row],[Barang Masuk]]+Table1[[#This Row],[Stok Awal ]])-Table1[[#This Row],[Barang Keluar ]]</f>
        <v>9000</v>
      </c>
      <c r="H7" s="12" t="s">
        <v>33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 ]])-Table1[[#This Row],[Barang Keluar ]]</f>
        <v>400</v>
      </c>
      <c r="H8" s="12" t="s">
        <v>33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 ]])-Table1[[#This Row],[Barang Keluar ]]</f>
        <v>0</v>
      </c>
      <c r="H9" s="12" t="s">
        <v>33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 ]])-Table1[[#This Row],[Barang Keluar ]]</f>
        <v>125</v>
      </c>
      <c r="H10" s="12" t="s">
        <v>31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4">
        <f>(Table1[[#This Row],[Barang Masuk]]+Table1[[#This Row],[Stok Awal ]])-Table1[[#This Row],[Barang Keluar ]]</f>
        <v>14975</v>
      </c>
      <c r="H11" s="12" t="s">
        <v>33</v>
      </c>
    </row>
    <row r="12" spans="2:8" x14ac:dyDescent="0.3">
      <c r="B12" s="2" t="s">
        <v>29</v>
      </c>
      <c r="C12" s="2" t="s">
        <v>28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100</v>
      </c>
      <c r="G12" s="14">
        <f>(Table1[[#This Row],[Barang Masuk]]+Table1[[#This Row],[Stok Awal ]])-Table1[[#This Row],[Barang Keluar ]]</f>
        <v>6325</v>
      </c>
      <c r="H12" s="12" t="s">
        <v>33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4">
        <f>(Table1[[#This Row],[Barang Masuk]]+Table1[[#This Row],[Stok Awal ]])-Table1[[#This Row],[Barang Keluar ]]</f>
        <v>0</v>
      </c>
      <c r="H13" s="12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4">
        <f>(Table1[[#This Row],[Barang Masuk]]+Table1[[#This Row],[Stok Awal ]])-Table1[[#This Row],[Barang Keluar ]]</f>
        <v>0</v>
      </c>
      <c r="H14" s="12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4">
        <f>(Table1[[#This Row],[Barang Masuk]]+Table1[[#This Row],[Stok Awal ]])-Table1[[#This Row],[Barang Keluar ]]</f>
        <v>0</v>
      </c>
      <c r="H15" s="12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4">
        <f>(Table1[[#This Row],[Barang Masuk]]+Table1[[#This Row],[Stok Awal ]])-Table1[[#This Row],[Barang Keluar ]]</f>
        <v>0</v>
      </c>
      <c r="H16" s="12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4">
        <f>(Table1[[#This Row],[Barang Masuk]]+Table1[[#This Row],[Stok Awal ]])-Table1[[#This Row],[Barang Keluar ]]</f>
        <v>0</v>
      </c>
      <c r="H17" s="12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4">
        <f>(Table1[[#This Row],[Barang Masuk]]+Table1[[#This Row],[Stok Awal ]])-Table1[[#This Row],[Barang Keluar ]]</f>
        <v>0</v>
      </c>
      <c r="H18" s="12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4">
        <f>(Table1[[#This Row],[Barang Masuk]]+Table1[[#This Row],[Stok Awal ]])-Table1[[#This Row],[Barang Keluar ]]</f>
        <v>0</v>
      </c>
      <c r="H19" s="12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4">
        <f>(Table1[[#This Row],[Barang Masuk]]+Table1[[#This Row],[Stok Awal ]])-Table1[[#This Row],[Barang Keluar ]]</f>
        <v>0</v>
      </c>
      <c r="H20" s="12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5">
        <f>(Table1[[#This Row],[Barang Masuk]]+Table1[[#This Row],[Stok Awal ]])-Table1[[#This Row],[Barang Keluar ]]</f>
        <v>0</v>
      </c>
      <c r="H21" s="12"/>
    </row>
  </sheetData>
  <mergeCells count="1">
    <mergeCell ref="B1:G1"/>
  </mergeCells>
  <conditionalFormatting sqref="G1:G1048576">
    <cfRule type="cellIs" dxfId="2" priority="1" operator="greaterThan">
      <formula>3999</formula>
    </cfRule>
  </conditionalFormatting>
  <conditionalFormatting sqref="G4:G10">
    <cfRule type="cellIs" dxfId="1" priority="2" operator="greaterThan">
      <formula>500</formula>
    </cfRule>
    <cfRule type="cellIs" dxfId="0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334"/>
  <sheetViews>
    <sheetView workbookViewId="0">
      <selection activeCell="F6" sqref="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>
        <v>46277</v>
      </c>
      <c r="D5" s="7" t="s">
        <v>9</v>
      </c>
      <c r="E5" s="7" t="str">
        <f>IFERROR(VLOOKUP(D5,Table1[#All],2,0),"")</f>
        <v>Kapur</v>
      </c>
      <c r="F5" s="7">
        <v>5000</v>
      </c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  <row r="30" spans="2:6" x14ac:dyDescent="0.3">
      <c r="B30" s="8">
        <v>26</v>
      </c>
      <c r="C30" s="7"/>
      <c r="D30" s="7"/>
      <c r="E30" s="7"/>
      <c r="F30" s="7"/>
    </row>
    <row r="31" spans="2:6" x14ac:dyDescent="0.3">
      <c r="B31" s="8">
        <v>27</v>
      </c>
      <c r="C31" s="7"/>
      <c r="D31" s="7"/>
      <c r="E31" s="7"/>
      <c r="F31" s="7"/>
    </row>
    <row r="32" spans="2:6" x14ac:dyDescent="0.3">
      <c r="B32" s="8">
        <v>28</v>
      </c>
      <c r="C32" s="7"/>
      <c r="D32" s="7"/>
      <c r="E32" s="7"/>
      <c r="F32" s="7"/>
    </row>
    <row r="33" spans="2:6" x14ac:dyDescent="0.3">
      <c r="B33" s="8">
        <v>29</v>
      </c>
      <c r="C33" s="7"/>
      <c r="D33" s="7"/>
      <c r="E33" s="7"/>
      <c r="F33" s="7"/>
    </row>
    <row r="34" spans="2:6" x14ac:dyDescent="0.3">
      <c r="B34" s="8">
        <v>30</v>
      </c>
      <c r="C34" s="7"/>
      <c r="D34" s="7"/>
      <c r="E34" s="7"/>
      <c r="F34" s="7"/>
    </row>
    <row r="35" spans="2:6" x14ac:dyDescent="0.3">
      <c r="B35" s="8">
        <v>31</v>
      </c>
      <c r="C35" s="7"/>
      <c r="D35" s="7"/>
      <c r="E35" s="7"/>
      <c r="F35" s="7"/>
    </row>
    <row r="36" spans="2:6" x14ac:dyDescent="0.3">
      <c r="B36" s="8">
        <v>32</v>
      </c>
      <c r="C36" s="7"/>
      <c r="D36" s="7"/>
      <c r="E36" s="7"/>
      <c r="F36" s="7"/>
    </row>
    <row r="37" spans="2:6" x14ac:dyDescent="0.3">
      <c r="B37" s="8">
        <v>33</v>
      </c>
      <c r="C37" s="7"/>
      <c r="D37" s="7"/>
      <c r="E37" s="7"/>
      <c r="F37" s="7"/>
    </row>
    <row r="38" spans="2:6" x14ac:dyDescent="0.3">
      <c r="B38" s="8">
        <v>34</v>
      </c>
      <c r="C38" s="7"/>
      <c r="D38" s="7"/>
      <c r="E38" s="7"/>
      <c r="F38" s="7"/>
    </row>
    <row r="39" spans="2:6" x14ac:dyDescent="0.3">
      <c r="B39" s="8">
        <v>35</v>
      </c>
      <c r="C39" s="7"/>
      <c r="D39" s="7"/>
      <c r="E39" s="7"/>
      <c r="F39" s="7"/>
    </row>
    <row r="40" spans="2:6" x14ac:dyDescent="0.3">
      <c r="B40" s="8">
        <v>36</v>
      </c>
      <c r="C40" s="7"/>
      <c r="D40" s="7"/>
      <c r="E40" s="7"/>
      <c r="F40" s="7"/>
    </row>
    <row r="41" spans="2:6" x14ac:dyDescent="0.3">
      <c r="B41" s="8">
        <v>37</v>
      </c>
      <c r="C41" s="7"/>
      <c r="D41" s="7"/>
      <c r="E41" s="7"/>
      <c r="F41" s="7"/>
    </row>
    <row r="42" spans="2:6" x14ac:dyDescent="0.3">
      <c r="B42" s="8">
        <v>38</v>
      </c>
      <c r="C42" s="7"/>
      <c r="D42" s="7"/>
      <c r="E42" s="7"/>
      <c r="F42" s="7"/>
    </row>
    <row r="43" spans="2:6" x14ac:dyDescent="0.3">
      <c r="B43" s="8">
        <v>39</v>
      </c>
      <c r="C43" s="7"/>
      <c r="D43" s="7"/>
      <c r="E43" s="7"/>
      <c r="F43" s="7"/>
    </row>
    <row r="44" spans="2:6" x14ac:dyDescent="0.3">
      <c r="B44" s="8">
        <v>40</v>
      </c>
      <c r="C44" s="7"/>
      <c r="D44" s="7"/>
      <c r="E44" s="7"/>
      <c r="F44" s="7"/>
    </row>
    <row r="45" spans="2:6" x14ac:dyDescent="0.3">
      <c r="B45" s="8">
        <v>41</v>
      </c>
      <c r="C45" s="7"/>
      <c r="D45" s="7"/>
      <c r="E45" s="7"/>
      <c r="F45" s="7"/>
    </row>
    <row r="46" spans="2:6" x14ac:dyDescent="0.3">
      <c r="B46" s="8">
        <v>42</v>
      </c>
      <c r="C46" s="7"/>
      <c r="D46" s="7"/>
      <c r="E46" s="7"/>
      <c r="F46" s="7"/>
    </row>
    <row r="47" spans="2:6" x14ac:dyDescent="0.3">
      <c r="B47" s="8">
        <v>43</v>
      </c>
      <c r="C47" s="7"/>
      <c r="D47" s="7"/>
      <c r="E47" s="7"/>
      <c r="F47" s="7"/>
    </row>
    <row r="48" spans="2:6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  <row r="316" spans="2:6" x14ac:dyDescent="0.3">
      <c r="B316" s="8">
        <v>312</v>
      </c>
      <c r="C316" s="7"/>
      <c r="D316" s="7"/>
      <c r="E316" s="7"/>
      <c r="F316" s="7"/>
    </row>
    <row r="317" spans="2:6" x14ac:dyDescent="0.3">
      <c r="B317" s="8">
        <v>313</v>
      </c>
      <c r="C317" s="7"/>
      <c r="D317" s="7"/>
      <c r="E317" s="7"/>
      <c r="F317" s="7"/>
    </row>
    <row r="318" spans="2:6" x14ac:dyDescent="0.3">
      <c r="B318" s="8">
        <v>314</v>
      </c>
      <c r="C318" s="7"/>
      <c r="D318" s="7"/>
      <c r="E318" s="7"/>
      <c r="F318" s="7"/>
    </row>
    <row r="319" spans="2:6" x14ac:dyDescent="0.3">
      <c r="B319" s="8">
        <v>315</v>
      </c>
      <c r="C319" s="7"/>
      <c r="D319" s="7"/>
      <c r="E319" s="7"/>
      <c r="F319" s="7"/>
    </row>
    <row r="320" spans="2:6" x14ac:dyDescent="0.3">
      <c r="B320" s="8">
        <v>316</v>
      </c>
      <c r="C320" s="7"/>
      <c r="D320" s="7"/>
      <c r="E320" s="7"/>
      <c r="F320" s="7"/>
    </row>
    <row r="321" spans="2:6" x14ac:dyDescent="0.3">
      <c r="B321" s="8">
        <v>317</v>
      </c>
      <c r="C321" s="7"/>
      <c r="D321" s="7"/>
      <c r="E321" s="7"/>
      <c r="F321" s="7"/>
    </row>
    <row r="322" spans="2:6" x14ac:dyDescent="0.3">
      <c r="B322" s="8">
        <v>318</v>
      </c>
      <c r="C322" s="7"/>
      <c r="D322" s="7"/>
      <c r="E322" s="7"/>
      <c r="F322" s="7"/>
    </row>
    <row r="323" spans="2:6" x14ac:dyDescent="0.3">
      <c r="B323" s="8">
        <v>319</v>
      </c>
      <c r="C323" s="7"/>
      <c r="D323" s="7"/>
      <c r="E323" s="7"/>
      <c r="F323" s="7"/>
    </row>
    <row r="324" spans="2:6" x14ac:dyDescent="0.3">
      <c r="B324" s="8">
        <v>320</v>
      </c>
      <c r="C324" s="7"/>
      <c r="D324" s="7"/>
      <c r="E324" s="7"/>
      <c r="F324" s="7"/>
    </row>
    <row r="325" spans="2:6" x14ac:dyDescent="0.3">
      <c r="B325" s="8">
        <v>321</v>
      </c>
      <c r="C325" s="7"/>
      <c r="D325" s="7"/>
      <c r="E325" s="7"/>
      <c r="F325" s="7"/>
    </row>
    <row r="326" spans="2:6" x14ac:dyDescent="0.3">
      <c r="B326" s="8">
        <v>322</v>
      </c>
      <c r="C326" s="7"/>
      <c r="D326" s="7"/>
      <c r="E326" s="7"/>
      <c r="F326" s="7"/>
    </row>
    <row r="327" spans="2:6" x14ac:dyDescent="0.3">
      <c r="B327" s="8">
        <v>323</v>
      </c>
      <c r="C327" s="7"/>
      <c r="D327" s="7"/>
      <c r="E327" s="7"/>
      <c r="F327" s="7"/>
    </row>
    <row r="328" spans="2:6" x14ac:dyDescent="0.3">
      <c r="B328" s="8">
        <v>324</v>
      </c>
      <c r="C328" s="7"/>
      <c r="D328" s="7"/>
      <c r="E328" s="7"/>
      <c r="F328" s="7"/>
    </row>
    <row r="329" spans="2:6" x14ac:dyDescent="0.3">
      <c r="B329" s="8">
        <v>325</v>
      </c>
      <c r="C329" s="7"/>
      <c r="D329" s="7"/>
      <c r="E329" s="7"/>
      <c r="F329" s="7"/>
    </row>
    <row r="330" spans="2:6" x14ac:dyDescent="0.3">
      <c r="B330" s="8">
        <v>326</v>
      </c>
      <c r="C330" s="7"/>
      <c r="D330" s="7"/>
      <c r="E330" s="7"/>
      <c r="F330" s="7"/>
    </row>
    <row r="331" spans="2:6" x14ac:dyDescent="0.3">
      <c r="B331" s="8">
        <v>327</v>
      </c>
      <c r="C331" s="7"/>
      <c r="D331" s="7"/>
      <c r="E331" s="7"/>
      <c r="F331" s="7"/>
    </row>
    <row r="332" spans="2:6" x14ac:dyDescent="0.3">
      <c r="B332" s="8">
        <v>328</v>
      </c>
      <c r="C332" s="7"/>
      <c r="D332" s="7"/>
      <c r="E332" s="7"/>
      <c r="F332" s="7"/>
    </row>
    <row r="333" spans="2:6" x14ac:dyDescent="0.3">
      <c r="B333" s="8">
        <v>329</v>
      </c>
      <c r="C333" s="7"/>
      <c r="D333" s="7"/>
      <c r="E333" s="7"/>
      <c r="F333" s="7"/>
    </row>
    <row r="334" spans="2:6" x14ac:dyDescent="0.3">
      <c r="B334" s="8">
        <v>330</v>
      </c>
      <c r="C334" s="7"/>
      <c r="D334" s="7"/>
      <c r="E334" s="7"/>
      <c r="F334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L18" sqref="L18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315"/>
  <sheetViews>
    <sheetView topLeftCell="A8" workbookViewId="0">
      <selection activeCell="F28" sqref="F28"/>
    </sheetView>
  </sheetViews>
  <sheetFormatPr defaultRowHeight="14.4" x14ac:dyDescent="0.3"/>
  <cols>
    <col min="3" max="3" width="10.33203125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7</v>
      </c>
      <c r="E7" s="7" t="str">
        <f>IFERROR(VLOOKUP(D7,Table1[#All],2,0),"")</f>
        <v>Carbon</v>
      </c>
      <c r="F7" s="7">
        <v>1000</v>
      </c>
      <c r="G7" t="s">
        <v>25</v>
      </c>
      <c r="J7" t="s">
        <v>7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Kapur</v>
      </c>
      <c r="F8" s="7">
        <v>1250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29</v>
      </c>
      <c r="E9" s="7" t="str">
        <f>IFERROR(VLOOKUP(D9,Table1[#All],2,0),"")</f>
        <v>Floculant</v>
      </c>
      <c r="F9" s="7">
        <v>25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7</v>
      </c>
      <c r="E10" s="7" t="str">
        <f>IFERROR(VLOOKUP(D10,Table1[#All],2,0),"")</f>
        <v>Carbon</v>
      </c>
      <c r="F10" s="7">
        <v>1000</v>
      </c>
      <c r="G10" t="s">
        <v>25</v>
      </c>
    </row>
    <row r="11" spans="2:11" x14ac:dyDescent="0.3">
      <c r="B11" s="8">
        <v>7</v>
      </c>
      <c r="C11" s="9">
        <v>46267</v>
      </c>
      <c r="D11" s="7" t="s">
        <v>8</v>
      </c>
      <c r="E11" s="7" t="str">
        <f>IFERROR(VLOOKUP(D11,Table1[#All],2,0),"")</f>
        <v>Sandios</v>
      </c>
      <c r="F11" s="7">
        <v>275</v>
      </c>
      <c r="G11" t="s">
        <v>25</v>
      </c>
    </row>
    <row r="12" spans="2:11" x14ac:dyDescent="0.3">
      <c r="B12" s="8">
        <v>8</v>
      </c>
      <c r="C12" s="9">
        <v>46268</v>
      </c>
      <c r="D12" s="7" t="s">
        <v>8</v>
      </c>
      <c r="E12" s="7" t="str">
        <f>IFERROR(VLOOKUP(D12,Table1[#All],2,0),"")</f>
        <v>Sandios</v>
      </c>
      <c r="F12" s="7">
        <v>100</v>
      </c>
      <c r="G12" t="s">
        <v>25</v>
      </c>
    </row>
    <row r="13" spans="2:11" x14ac:dyDescent="0.3">
      <c r="B13" s="8">
        <v>9</v>
      </c>
      <c r="C13" s="9">
        <v>46267</v>
      </c>
      <c r="D13" s="7" t="s">
        <v>29</v>
      </c>
      <c r="E13" s="7" t="str">
        <f>IFERROR(VLOOKUP(D13,Table1[#All],2,0),"")</f>
        <v>Floculant</v>
      </c>
      <c r="F13" s="7">
        <v>25</v>
      </c>
      <c r="G13" t="s">
        <v>25</v>
      </c>
    </row>
    <row r="14" spans="2:11" x14ac:dyDescent="0.3">
      <c r="B14" s="8">
        <v>10</v>
      </c>
      <c r="C14" s="9">
        <v>46271</v>
      </c>
      <c r="D14" s="7" t="s">
        <v>8</v>
      </c>
      <c r="E14" s="7" t="str">
        <f>IFERROR(VLOOKUP(D14,Table1[#All],2,0),"")</f>
        <v>Sandios</v>
      </c>
      <c r="F14" s="7">
        <v>175</v>
      </c>
      <c r="G14" t="s">
        <v>25</v>
      </c>
    </row>
    <row r="15" spans="2:11" x14ac:dyDescent="0.3">
      <c r="B15" s="8">
        <v>11</v>
      </c>
      <c r="C15" s="9">
        <v>46271</v>
      </c>
      <c r="D15" s="7" t="s">
        <v>9</v>
      </c>
      <c r="E15" s="7" t="str">
        <f>IFERROR(VLOOKUP(D15,Table1[#All],2,0),"")</f>
        <v>Kapur</v>
      </c>
      <c r="F15" s="7">
        <v>500</v>
      </c>
      <c r="G15" t="s">
        <v>25</v>
      </c>
    </row>
    <row r="16" spans="2:11" x14ac:dyDescent="0.3">
      <c r="B16" s="8">
        <v>12</v>
      </c>
      <c r="C16" s="9">
        <v>46272</v>
      </c>
      <c r="D16" s="7" t="s">
        <v>8</v>
      </c>
      <c r="E16" s="7" t="str">
        <f>IFERROR(VLOOKUP(D16,Table1[#All],2,0),"")</f>
        <v>Sandios</v>
      </c>
      <c r="F16" s="7">
        <v>150</v>
      </c>
      <c r="G16" t="s">
        <v>25</v>
      </c>
    </row>
    <row r="17" spans="2:7" x14ac:dyDescent="0.3">
      <c r="B17" s="8">
        <v>13</v>
      </c>
      <c r="C17" s="9">
        <v>46272</v>
      </c>
      <c r="D17" s="7" t="s">
        <v>9</v>
      </c>
      <c r="E17" s="7" t="str">
        <f>IFERROR(VLOOKUP(D17,Table1[#All],2,0),"")</f>
        <v>Kapur</v>
      </c>
      <c r="F17" s="7">
        <v>750</v>
      </c>
      <c r="G17" t="s">
        <v>25</v>
      </c>
    </row>
    <row r="18" spans="2:7" x14ac:dyDescent="0.3">
      <c r="B18" s="8">
        <v>14</v>
      </c>
      <c r="C18" s="9">
        <v>46273</v>
      </c>
      <c r="D18" s="7" t="s">
        <v>8</v>
      </c>
      <c r="E18" s="7" t="str">
        <f>IFERROR(VLOOKUP(D18,Table1[#All],2,0),"")</f>
        <v>Sandios</v>
      </c>
      <c r="F18" s="7">
        <v>350</v>
      </c>
      <c r="G18" t="s">
        <v>25</v>
      </c>
    </row>
    <row r="19" spans="2:7" x14ac:dyDescent="0.3">
      <c r="B19" s="8">
        <v>15</v>
      </c>
      <c r="C19" s="9">
        <v>46274</v>
      </c>
      <c r="D19" s="7" t="s">
        <v>8</v>
      </c>
      <c r="E19" s="7" t="str">
        <f>IFERROR(VLOOKUP(D19,Table1[#All],2,0),"")</f>
        <v>Sandios</v>
      </c>
      <c r="F19" s="7">
        <v>75</v>
      </c>
      <c r="G19" t="s">
        <v>25</v>
      </c>
    </row>
    <row r="20" spans="2:7" x14ac:dyDescent="0.3">
      <c r="B20" s="8">
        <v>16</v>
      </c>
      <c r="C20" s="9">
        <v>46275</v>
      </c>
      <c r="D20" s="7" t="s">
        <v>7</v>
      </c>
      <c r="E20" s="7" t="str">
        <f>IFERROR(VLOOKUP(D20,Table1[#All],2,0),"")</f>
        <v>Carbon</v>
      </c>
      <c r="F20" s="7">
        <v>500</v>
      </c>
      <c r="G20" t="s">
        <v>25</v>
      </c>
    </row>
    <row r="21" spans="2:7" x14ac:dyDescent="0.3">
      <c r="B21" s="8">
        <v>17</v>
      </c>
      <c r="C21" s="9">
        <v>46276</v>
      </c>
      <c r="D21" s="7" t="s">
        <v>8</v>
      </c>
      <c r="E21" s="7" t="str">
        <f>IFERROR(VLOOKUP(D21,Table1[#All],2,0),"")</f>
        <v>Sandios</v>
      </c>
      <c r="F21" s="7">
        <v>375</v>
      </c>
      <c r="G21" t="s">
        <v>25</v>
      </c>
    </row>
    <row r="22" spans="2:7" x14ac:dyDescent="0.3">
      <c r="B22" s="8">
        <v>18</v>
      </c>
      <c r="C22" s="9">
        <v>46277</v>
      </c>
      <c r="D22" s="7" t="s">
        <v>8</v>
      </c>
      <c r="E22" s="7" t="str">
        <f>IFERROR(VLOOKUP(D22,Table1[#All],2,0),"")</f>
        <v>Sandios</v>
      </c>
      <c r="F22" s="7">
        <v>125</v>
      </c>
      <c r="G22" t="s">
        <v>25</v>
      </c>
    </row>
    <row r="23" spans="2:7" x14ac:dyDescent="0.3">
      <c r="B23" s="8">
        <v>19</v>
      </c>
      <c r="C23" s="9">
        <v>46278</v>
      </c>
      <c r="D23" s="7" t="s">
        <v>8</v>
      </c>
      <c r="E23" s="7" t="str">
        <f>IFERROR(VLOOKUP(D23,Table1[#All],2,0),"")</f>
        <v>Sandios</v>
      </c>
      <c r="F23" s="7">
        <v>375</v>
      </c>
      <c r="G23" t="s">
        <v>25</v>
      </c>
    </row>
    <row r="24" spans="2:7" x14ac:dyDescent="0.3">
      <c r="B24" s="8">
        <v>20</v>
      </c>
      <c r="C24" s="9">
        <v>46277</v>
      </c>
      <c r="D24" s="7" t="s">
        <v>7</v>
      </c>
      <c r="E24" s="7" t="str">
        <f>IFERROR(VLOOKUP(D24,Table1[#All],2,0),"")</f>
        <v>Carbon</v>
      </c>
      <c r="F24" s="7">
        <v>500</v>
      </c>
      <c r="G24" t="s">
        <v>25</v>
      </c>
    </row>
    <row r="25" spans="2:7" x14ac:dyDescent="0.3">
      <c r="B25" s="8">
        <v>21</v>
      </c>
      <c r="C25" s="9">
        <v>46276</v>
      </c>
      <c r="D25" s="7" t="s">
        <v>29</v>
      </c>
      <c r="E25" s="7" t="str">
        <f>IFERROR(VLOOKUP(D25,Table1[#All],2,0),"")</f>
        <v>Floculant</v>
      </c>
      <c r="F25" s="7">
        <v>50</v>
      </c>
      <c r="G25" t="s">
        <v>25</v>
      </c>
    </row>
    <row r="26" spans="2:7" x14ac:dyDescent="0.3">
      <c r="B26" s="8">
        <v>22</v>
      </c>
      <c r="C26" s="9">
        <v>46267</v>
      </c>
      <c r="D26" s="7" t="s">
        <v>9</v>
      </c>
      <c r="E26" s="7" t="str">
        <f>IFERROR(VLOOKUP(D26,Table1[#All],2,0),"")</f>
        <v>Kapur</v>
      </c>
      <c r="F26" s="7">
        <v>500</v>
      </c>
      <c r="G26" t="s">
        <v>25</v>
      </c>
    </row>
    <row r="27" spans="2:7" x14ac:dyDescent="0.3">
      <c r="B27" s="8">
        <v>23</v>
      </c>
      <c r="C27" s="9">
        <v>46268</v>
      </c>
      <c r="D27" s="7" t="s">
        <v>9</v>
      </c>
      <c r="E27" s="7" t="str">
        <f>IFERROR(VLOOKUP(D27,Table1[#All],2,0),"")</f>
        <v>Kapur</v>
      </c>
      <c r="F27" s="7">
        <v>250</v>
      </c>
      <c r="G27" t="s">
        <v>25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25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25</v>
      </c>
    </row>
    <row r="30" spans="2:7" x14ac:dyDescent="0.3">
      <c r="B30" s="8">
        <v>26</v>
      </c>
      <c r="C30" s="7"/>
      <c r="D30" s="7"/>
      <c r="E30" s="7"/>
      <c r="F30" s="7"/>
      <c r="G30" t="s">
        <v>25</v>
      </c>
    </row>
    <row r="31" spans="2:7" x14ac:dyDescent="0.3">
      <c r="B31" s="8">
        <v>27</v>
      </c>
      <c r="C31" s="7"/>
      <c r="D31" s="7"/>
      <c r="E31" s="7"/>
      <c r="F31" s="7"/>
      <c r="G31" t="s">
        <v>25</v>
      </c>
    </row>
    <row r="32" spans="2:7" x14ac:dyDescent="0.3">
      <c r="B32" s="8">
        <v>28</v>
      </c>
      <c r="C32" s="7"/>
      <c r="D32" s="7"/>
      <c r="E32" s="7"/>
      <c r="F32" s="7"/>
      <c r="G32" t="s">
        <v>25</v>
      </c>
    </row>
    <row r="33" spans="2:7" x14ac:dyDescent="0.3">
      <c r="B33" s="8">
        <v>29</v>
      </c>
      <c r="C33" s="7"/>
      <c r="D33" s="7"/>
      <c r="E33" s="7"/>
      <c r="F33" s="7"/>
      <c r="G33" t="s">
        <v>25</v>
      </c>
    </row>
    <row r="34" spans="2:7" x14ac:dyDescent="0.3">
      <c r="B34" s="8">
        <v>30</v>
      </c>
      <c r="C34" s="7"/>
      <c r="D34" s="7"/>
      <c r="E34" s="7"/>
      <c r="F34" s="7"/>
      <c r="G34" t="s">
        <v>25</v>
      </c>
    </row>
    <row r="35" spans="2:7" x14ac:dyDescent="0.3">
      <c r="B35" s="8">
        <v>31</v>
      </c>
      <c r="C35" s="7"/>
      <c r="D35" s="7"/>
      <c r="E35" s="7"/>
      <c r="F35" s="7"/>
    </row>
    <row r="36" spans="2:7" x14ac:dyDescent="0.3">
      <c r="B36" s="8">
        <v>32</v>
      </c>
      <c r="C36" s="7"/>
      <c r="D36" s="7"/>
      <c r="E36" s="7"/>
      <c r="F36" s="7"/>
    </row>
    <row r="37" spans="2:7" x14ac:dyDescent="0.3">
      <c r="B37" s="8">
        <v>33</v>
      </c>
      <c r="C37" s="7"/>
      <c r="D37" s="7"/>
      <c r="E37" s="7"/>
      <c r="F37" s="7"/>
    </row>
    <row r="38" spans="2:7" x14ac:dyDescent="0.3">
      <c r="B38" s="8">
        <v>34</v>
      </c>
      <c r="C38" s="7"/>
      <c r="D38" s="7"/>
      <c r="E38" s="7"/>
      <c r="F38" s="7"/>
    </row>
    <row r="39" spans="2:7" x14ac:dyDescent="0.3">
      <c r="B39" s="8">
        <v>35</v>
      </c>
      <c r="C39" s="7"/>
      <c r="D39" s="7"/>
      <c r="E39" s="7"/>
      <c r="F39" s="7"/>
    </row>
    <row r="40" spans="2:7" x14ac:dyDescent="0.3">
      <c r="B40" s="8">
        <v>36</v>
      </c>
      <c r="C40" s="7"/>
      <c r="D40" s="7"/>
      <c r="E40" s="7"/>
      <c r="F40" s="7"/>
    </row>
    <row r="41" spans="2:7" x14ac:dyDescent="0.3">
      <c r="B41" s="8">
        <v>37</v>
      </c>
      <c r="C41" s="7"/>
      <c r="D41" s="7"/>
      <c r="E41" s="7"/>
      <c r="F41" s="7"/>
    </row>
    <row r="42" spans="2:7" x14ac:dyDescent="0.3">
      <c r="B42" s="8">
        <v>38</v>
      </c>
      <c r="C42" s="7"/>
      <c r="D42" s="7"/>
      <c r="E42" s="7"/>
      <c r="F42" s="7"/>
    </row>
    <row r="43" spans="2:7" x14ac:dyDescent="0.3">
      <c r="B43" s="8">
        <v>39</v>
      </c>
      <c r="C43" s="7"/>
      <c r="D43" s="7"/>
      <c r="E43" s="7"/>
      <c r="F43" s="7"/>
    </row>
    <row r="44" spans="2:7" x14ac:dyDescent="0.3">
      <c r="B44" s="8">
        <v>40</v>
      </c>
      <c r="C44" s="7"/>
      <c r="D44" s="7"/>
      <c r="E44" s="7"/>
      <c r="F44" s="7"/>
    </row>
    <row r="45" spans="2:7" x14ac:dyDescent="0.3">
      <c r="B45" s="8">
        <v>41</v>
      </c>
      <c r="C45" s="7"/>
      <c r="D45" s="7"/>
      <c r="E45" s="7"/>
      <c r="F45" s="7"/>
    </row>
    <row r="46" spans="2:7" x14ac:dyDescent="0.3">
      <c r="B46" s="8">
        <v>42</v>
      </c>
      <c r="C46" s="7"/>
      <c r="D46" s="7"/>
      <c r="E46" s="7"/>
      <c r="F46" s="7"/>
    </row>
    <row r="47" spans="2:7" x14ac:dyDescent="0.3">
      <c r="B47" s="8">
        <v>43</v>
      </c>
      <c r="C47" s="7"/>
      <c r="D47" s="7"/>
      <c r="E47" s="7"/>
      <c r="F47" s="7"/>
    </row>
    <row r="48" spans="2:7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</sheetData>
  <dataValidations count="1">
    <dataValidation type="list" allowBlank="1" showInputMessage="1" showErrorMessage="1" sqref="G5:G74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D5:D29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Sheet4</vt:lpstr>
      <vt:lpstr>Barang Keluar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2026-09-14T08:18:57Z</dcterms:modified>
</cp:coreProperties>
</file>