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13aa31352d86ff/Documents/BDL/PT BDL/Report/Production Report/Excel/"/>
    </mc:Choice>
  </mc:AlternateContent>
  <xr:revisionPtr revIDLastSave="70" documentId="13_ncr:1_{D7C34677-A19D-4BE8-8C63-2121F2273179}" xr6:coauthVersionLast="47" xr6:coauthVersionMax="47" xr10:uidLastSave="{7A6CD5ED-DC85-42C8-9132-F897A21457BF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Barang Keluar 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6" i="2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5" i="1"/>
  <c r="F21" i="1"/>
  <c r="F1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<sst xmlns="http://schemas.openxmlformats.org/spreadsheetml/2006/main" count="36" uniqueCount="27">
  <si>
    <t>No</t>
  </si>
  <si>
    <t>Kode Barang</t>
  </si>
  <si>
    <t>Nama Barang</t>
  </si>
  <si>
    <t>Stok Awal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</si>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</sst>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0" xfId="0" applyFont="1" applyFill="1"/>
    <xf numFmtId="0" fontId="4" fillId="2" borderId="2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G21" totalsRowShown="0" headerRowDxfId="12" dataDxfId="10" headerRowBorderDxfId="11" tableBorderDxfId="9" totalsRowBorderDxfId="8">
  <autoFilter ref="B3:G21" xr:uid="{1AC36863-5F67-4496-A2C7-808F86C284A1}"/>
  <tableColumns count="6">
    <tableColumn id="2" xr3:uid="{E78837C8-954C-440F-BCB4-114AA4EBC159}" name="Kode Barang" dataDxfId="7"/>
    <tableColumn id="3" xr3:uid="{BB8DB245-EB50-4D84-9B3E-D2CF46896708}" name="Nama Barang" dataDxfId="6"/>
    <tableColumn id="4" xr3:uid="{36BAEBBD-D2E7-42F0-B8AF-873903FEFEA9}" name="Stok Awal" dataDxfId="5"/>
    <tableColumn id="5" xr3:uid="{3DA331B5-0C1B-4517-AC2B-660041411D0B}" name="Barang Masuk" dataDxfId="4">
      <calculatedColumnFormula>SUMIF('Barang Masuk'!$E$5:$E$29,Table1[[#This Row],[Nama Barang]],'Barang Masuk'!$F$5:$F$29)</calculatedColumnFormula>
    </tableColumn>
    <tableColumn id="6" xr3:uid="{4231B6CF-326F-44B2-8A60-3DCCDB55861D}" name="Barang Keluar " dataDxfId="3">
      <calculatedColumnFormula>SUMIF('Barang Keluar '!$E$5:$E$29,Table1[[#This Row],[Nama Barang]],'Barang Keluar '!$F$5:$F$29)</calculatedColumnFormula>
    </tableColumn>
    <tableColumn id="7" xr3:uid="{9472852C-4AF5-44FD-A6F5-E9EDEDD511AE}" name="Stock Akhir" dataDxfId="2">
      <calculatedColumnFormula>(Table1[[#This Row],[Barang Masuk]]+Table1[[#This Row],[Stok Awal]])-Table1[[#This Row],[Barang Keluar 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G21"/>
  <sheetViews>
    <sheetView tabSelected="1" zoomScale="84" workbookViewId="0">
      <selection activeCell="E11" sqref="E11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3.5546875" style="1" bestFit="1" customWidth="1"/>
    <col min="5" max="5" width="16.77734375" style="1" bestFit="1" customWidth="1"/>
    <col min="6" max="6" width="17.109375" style="1" bestFit="1" customWidth="1"/>
    <col min="7" max="7" width="17.33203125" style="12" customWidth="1"/>
    <col min="8" max="16384" width="8.88671875" style="1"/>
  </cols>
  <sheetData>
    <row r="1" spans="2:7" ht="18" x14ac:dyDescent="0.35">
      <c r="B1" s="15" t="s">
        <v>24</v>
      </c>
      <c r="C1" s="15"/>
      <c r="D1" s="15"/>
      <c r="E1" s="15"/>
      <c r="F1" s="15"/>
      <c r="G1" s="15"/>
    </row>
    <row r="3" spans="2:7" x14ac:dyDescent="0.3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6</v>
      </c>
    </row>
    <row r="4" spans="2:7" ht="15.6" x14ac:dyDescent="0.3">
      <c r="B4" s="2" t="s">
        <v>7</v>
      </c>
      <c r="C4" s="2" t="s">
        <v>12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Awal]])-Table1[[#This Row],[Barang Keluar ]]</f>
        <v>150</v>
      </c>
    </row>
    <row r="5" spans="2:7" ht="15.6" x14ac:dyDescent="0.3">
      <c r="B5" s="2" t="s">
        <v>8</v>
      </c>
      <c r="C5" s="2" t="s">
        <v>13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0</v>
      </c>
      <c r="G5" s="13">
        <f>(Table1[[#This Row],[Barang Masuk]]+Table1[[#This Row],[Stok Awal]])-Table1[[#This Row],[Barang Keluar ]]</f>
        <v>5000</v>
      </c>
    </row>
    <row r="6" spans="2:7" ht="15.6" x14ac:dyDescent="0.3">
      <c r="B6" s="2" t="s">
        <v>9</v>
      </c>
      <c r="C6" s="2" t="s">
        <v>14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0</v>
      </c>
      <c r="G6" s="13">
        <f>(Table1[[#This Row],[Barang Masuk]]+Table1[[#This Row],[Stok Awal]])-Table1[[#This Row],[Barang Keluar ]]</f>
        <v>5900</v>
      </c>
    </row>
    <row r="7" spans="2:7" ht="15.6" x14ac:dyDescent="0.3">
      <c r="B7" s="2" t="s">
        <v>10</v>
      </c>
      <c r="C7" s="2" t="s">
        <v>15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2500</v>
      </c>
      <c r="G7" s="13">
        <f>(Table1[[#This Row],[Barang Masuk]]+Table1[[#This Row],[Stok Awal]])-Table1[[#This Row],[Barang Keluar ]]</f>
        <v>5000</v>
      </c>
    </row>
    <row r="8" spans="2:7" ht="15.6" x14ac:dyDescent="0.3">
      <c r="B8" s="2" t="s">
        <v>11</v>
      </c>
      <c r="C8" s="2" t="s">
        <v>16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Awal]])-Table1[[#This Row],[Barang Keluar ]]</f>
        <v>400</v>
      </c>
    </row>
    <row r="9" spans="2:7" ht="15.6" x14ac:dyDescent="0.3">
      <c r="B9" s="2" t="s">
        <v>17</v>
      </c>
      <c r="C9" s="2" t="s">
        <v>18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Awal]])-Table1[[#This Row],[Barang Keluar ]]</f>
        <v>0</v>
      </c>
    </row>
    <row r="10" spans="2:7" ht="15.6" x14ac:dyDescent="0.3">
      <c r="B10" s="2" t="s">
        <v>19</v>
      </c>
      <c r="C10" s="2" t="s">
        <v>19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Awal]])-Table1[[#This Row],[Barang Keluar ]]</f>
        <v>125</v>
      </c>
    </row>
    <row r="11" spans="2:7" x14ac:dyDescent="0.3">
      <c r="B11" s="2" t="s">
        <v>23</v>
      </c>
      <c r="C11" s="2" t="s">
        <v>23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0">
        <f>(Table1[[#This Row],[Barang Masuk]]+Table1[[#This Row],[Stok Awal]])-Table1[[#This Row],[Barang Keluar ]]</f>
        <v>14975</v>
      </c>
    </row>
    <row r="12" spans="2:7" x14ac:dyDescent="0.3">
      <c r="B12" s="2"/>
      <c r="C12" s="2"/>
      <c r="D12" s="2"/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0</v>
      </c>
      <c r="G12" s="10">
        <f>(Table1[[#This Row],[Barang Masuk]]+Table1[[#This Row],[Stok Awal]])-Table1[[#This Row],[Barang Keluar ]]</f>
        <v>0</v>
      </c>
    </row>
    <row r="13" spans="2:7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0">
        <f>(Table1[[#This Row],[Barang Masuk]]+Table1[[#This Row],[Stok Awal]])-Table1[[#This Row],[Barang Keluar ]]</f>
        <v>0</v>
      </c>
    </row>
    <row r="14" spans="2:7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0">
        <f>(Table1[[#This Row],[Barang Masuk]]+Table1[[#This Row],[Stok Awal]])-Table1[[#This Row],[Barang Keluar ]]</f>
        <v>0</v>
      </c>
    </row>
    <row r="15" spans="2:7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0">
        <f>(Table1[[#This Row],[Barang Masuk]]+Table1[[#This Row],[Stok Awal]])-Table1[[#This Row],[Barang Keluar ]]</f>
        <v>0</v>
      </c>
    </row>
    <row r="16" spans="2:7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0">
        <f>(Table1[[#This Row],[Barang Masuk]]+Table1[[#This Row],[Stok Awal]])-Table1[[#This Row],[Barang Keluar ]]</f>
        <v>0</v>
      </c>
    </row>
    <row r="17" spans="2:7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0">
        <f>(Table1[[#This Row],[Barang Masuk]]+Table1[[#This Row],[Stok Awal]])-Table1[[#This Row],[Barang Keluar ]]</f>
        <v>0</v>
      </c>
    </row>
    <row r="18" spans="2:7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0">
        <f>(Table1[[#This Row],[Barang Masuk]]+Table1[[#This Row],[Stok Awal]])-Table1[[#This Row],[Barang Keluar ]]</f>
        <v>0</v>
      </c>
    </row>
    <row r="19" spans="2:7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0">
        <f>(Table1[[#This Row],[Barang Masuk]]+Table1[[#This Row],[Stok Awal]])-Table1[[#This Row],[Barang Keluar ]]</f>
        <v>0</v>
      </c>
    </row>
    <row r="20" spans="2:7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0">
        <f>(Table1[[#This Row],[Barang Masuk]]+Table1[[#This Row],[Stok Awal]])-Table1[[#This Row],[Barang Keluar ]]</f>
        <v>0</v>
      </c>
    </row>
    <row r="21" spans="2:7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1">
        <f>(Table1[[#This Row],[Barang Masuk]]+Table1[[#This Row],[Stok Awal]])-Table1[[#This Row],[Barang Keluar ]]</f>
        <v>0</v>
      </c>
    </row>
  </sheetData>
  <mergeCells count="1">
    <mergeCell ref="B1:G1"/>
  </mergeCells>
  <conditionalFormatting sqref="G4:G10">
    <cfRule type="cellIs" dxfId="1" priority="1" operator="greaterThan">
      <formula>500</formula>
    </cfRule>
    <cfRule type="cellIs" dxfId="0" priority="2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29"/>
  <sheetViews>
    <sheetView workbookViewId="0">
      <selection activeCell="F5" sqref="F5: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21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G29"/>
  <sheetViews>
    <sheetView workbookViewId="0">
      <selection activeCell="G6" sqref="G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7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22</v>
      </c>
      <c r="G4" s="14" t="s">
        <v>25</v>
      </c>
    </row>
    <row r="5" spans="2:7" x14ac:dyDescent="0.3">
      <c r="B5" s="8">
        <v>1</v>
      </c>
      <c r="C5" s="9">
        <v>46262</v>
      </c>
      <c r="D5" s="7" t="s">
        <v>10</v>
      </c>
      <c r="E5" s="7" t="str">
        <f>IFERROR(VLOOKUP(D5,Table1[#All],2,0),"")</f>
        <v>Kapur</v>
      </c>
      <c r="F5" s="7">
        <v>2500</v>
      </c>
      <c r="G5" t="s">
        <v>26</v>
      </c>
    </row>
    <row r="6" spans="2:7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7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7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7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7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7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7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7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7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7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7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D683069-2A18-4D58-AF32-2A833D64ED9D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1BD8172C-B508-4C24-BEC5-C810784AE9AE}">
          <x14:formula1>
            <xm:f>'Stock Barang'!$B$4:$B$11</xm:f>
          </x14:formula1>
          <xm:sqref>D5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G19" sqref="G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Barang Keluar 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2026-08-29T15:01:55Z</dcterms:modified>
</cp:coreProperties>
</file>