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F60032A-4B84-4699-8631-CBAB5797089E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6" i="3"/>
  <c r="E7" i="3"/>
  <c r="F11" i="1" l="1"/>
  <c r="F5" i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2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<sst xmlns="http://schemas.openxmlformats.org/spreadsheetml/2006/main" count="98" uniqueCount="34">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</sst>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4" dataDxfId="12" headerRowBorderDxfId="13" tableBorderDxfId="11" totalsRowBorderDxfId="10">
  <autoFilter ref="B3:H21" xr:uid="{1AC36863-5F67-4496-A2C7-808F86C284A1}"/>
  <tableColumns count="7">
    <tableColumn id="2" xr3:uid="{E78837C8-954C-440F-BCB4-114AA4EBC159}" name="Kode Barang" dataDxfId="9"/>
    <tableColumn id="3" xr3:uid="{BB8DB245-EB50-4D84-9B3E-D2CF46896708}" name="Nama Barang" dataDxfId="8"/>
    <tableColumn id="4" xr3:uid="{36BAEBBD-D2E7-42F0-B8AF-873903FEFEA9}" name="Stok Awal " dataDxfId="7"/>
    <tableColumn id="5" xr3:uid="{3DA331B5-0C1B-4517-AC2B-660041411D0B}" name="Barang Masuk" dataDxfId="6">
      <calculatedColumnFormula>SUMIF('Barang Masuk'!$E$5:$E$29,Table1[[#This Row],[Nama Barang]],'Barang Masuk'!$F$5:$F$29)</calculatedColumnFormula>
    </tableColumn>
    <tableColumn id="6" xr3:uid="{4231B6CF-326F-44B2-8A60-3DCCDB55861D}" name="Barang Keluar " dataDxfId="5">
      <calculatedColumnFormula>SUMIF('Barang Keluar '!$E$5:$E$29,Table1[[#This Row],[Nama Barang]],'Barang Keluar '!$F$5:$F$29)</calculatedColumnFormula>
    </tableColumn>
    <tableColumn id="7" xr3:uid="{9472852C-4AF5-44FD-A6F5-E9EDEDD511AE}" name="Stock Akhir" dataDxfId="4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F5" sqref="F5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2500</v>
      </c>
      <c r="G5" s="13">
        <f>(Table1[[#This Row],[Barang Masuk]]+Table1[[#This Row],[Stok Awal ]])-Table1[[#This Row],[Barang Keluar ]]</f>
        <v>2500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1500</v>
      </c>
      <c r="G6" s="13">
        <f>(Table1[[#This Row],[Barang Masuk]]+Table1[[#This Row],[Stok Awal ]])-Table1[[#This Row],[Barang Keluar ]]</f>
        <v>4400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2250</v>
      </c>
      <c r="G7" s="13">
        <f>(Table1[[#This Row],[Barang Masuk]]+Table1[[#This Row],[Stok Awal ]])-Table1[[#This Row],[Barang Keluar ]]</f>
        <v>5250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 ]])-Table1[[#This Row],[Barang Keluar ]]</f>
        <v>400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 ]])-Table1[[#This Row],[Barang Keluar ]]</f>
        <v>125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50</v>
      </c>
      <c r="G12" s="14">
        <f>(Table1[[#This Row],[Barang Masuk]]+Table1[[#This Row],[Stok Awal ]])-Table1[[#This Row],[Barang Keluar ]]</f>
        <v>6375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2" priority="1" operator="greaterThan">
      <formula>3999</formula>
    </cfRule>
  </conditionalFormatting>
  <conditionalFormatting sqref="G4:G10">
    <cfRule type="cellIs" dxfId="1" priority="2" operator="greaterThan">
      <formula>500</formula>
    </cfRule>
    <cfRule type="cellIs" dxfId="0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F9" sqref="F9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workbookViewId="0">
      <selection activeCell="F21" sqref="F21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7</v>
      </c>
      <c r="E7" s="7" t="str">
        <f>IFERROR(VLOOKUP(D7,Table1[#All],2,0),"")</f>
        <v>Carbon</v>
      </c>
      <c r="F7" s="7">
        <v>1000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Kapur</v>
      </c>
      <c r="F8" s="7">
        <v>1250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29</v>
      </c>
      <c r="E9" s="7" t="str">
        <f>IFERROR(VLOOKUP(D9,Table1[#All],2,0),"")</f>
        <v>Floculant</v>
      </c>
      <c r="F9" s="7">
        <v>25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7</v>
      </c>
      <c r="E10" s="7" t="str">
        <f>IFERROR(VLOOKUP(D10,Table1[#All],2,0),"")</f>
        <v>Carbon</v>
      </c>
      <c r="F10" s="7">
        <v>1000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275</v>
      </c>
      <c r="G11" t="s">
        <v>25</v>
      </c>
    </row>
    <row r="12" spans="2:11" x14ac:dyDescent="0.3">
      <c r="B12" s="8">
        <v>8</v>
      </c>
      <c r="C12" s="9">
        <v>46268</v>
      </c>
      <c r="D12" s="7" t="s">
        <v>8</v>
      </c>
      <c r="E12" s="7" t="str">
        <f>IFERROR(VLOOKUP(D12,Table1[#All],2,0),"")</f>
        <v>Sandios</v>
      </c>
      <c r="F12" s="7">
        <v>100</v>
      </c>
      <c r="G12" t="s">
        <v>25</v>
      </c>
    </row>
    <row r="13" spans="2:11" x14ac:dyDescent="0.3">
      <c r="B13" s="8">
        <v>9</v>
      </c>
      <c r="C13" s="9">
        <v>46267</v>
      </c>
      <c r="D13" s="7" t="s">
        <v>29</v>
      </c>
      <c r="E13" s="7" t="str">
        <f>IFERROR(VLOOKUP(D13,Table1[#All],2,0),"")</f>
        <v>Floculant</v>
      </c>
      <c r="F13" s="7">
        <v>25</v>
      </c>
      <c r="G13" t="s">
        <v>25</v>
      </c>
    </row>
    <row r="14" spans="2:11" x14ac:dyDescent="0.3">
      <c r="B14" s="8">
        <v>10</v>
      </c>
      <c r="C14" s="9">
        <v>46271</v>
      </c>
      <c r="D14" s="7" t="s">
        <v>8</v>
      </c>
      <c r="E14" s="7" t="str">
        <f>IFERROR(VLOOKUP(D14,Table1[#All],2,0),"")</f>
        <v>Sandios</v>
      </c>
      <c r="F14" s="7">
        <v>175</v>
      </c>
      <c r="G14" t="s">
        <v>25</v>
      </c>
    </row>
    <row r="15" spans="2:11" x14ac:dyDescent="0.3">
      <c r="B15" s="8">
        <v>11</v>
      </c>
      <c r="C15" s="9">
        <v>46271</v>
      </c>
      <c r="D15" s="7" t="s">
        <v>9</v>
      </c>
      <c r="E15" s="7" t="str">
        <f>IFERROR(VLOOKUP(D15,Table1[#All],2,0),"")</f>
        <v>Kapur</v>
      </c>
      <c r="F15" s="7">
        <v>500</v>
      </c>
      <c r="G15" t="s">
        <v>25</v>
      </c>
    </row>
    <row r="16" spans="2:11" x14ac:dyDescent="0.3">
      <c r="B16" s="8">
        <v>12</v>
      </c>
      <c r="C16" s="9">
        <v>46272</v>
      </c>
      <c r="D16" s="7" t="s">
        <v>8</v>
      </c>
      <c r="E16" s="7" t="str">
        <f>IFERROR(VLOOKUP(D16,Table1[#All],2,0),"")</f>
        <v>Sandios</v>
      </c>
      <c r="F16" s="7">
        <v>150</v>
      </c>
      <c r="G16" t="s">
        <v>25</v>
      </c>
    </row>
    <row r="17" spans="2:7" x14ac:dyDescent="0.3">
      <c r="B17" s="8">
        <v>13</v>
      </c>
      <c r="C17" s="9">
        <v>46272</v>
      </c>
      <c r="D17" s="7" t="s">
        <v>9</v>
      </c>
      <c r="E17" s="7" t="str">
        <f>IFERROR(VLOOKUP(D17,Table1[#All],2,0),"")</f>
        <v>Kapur</v>
      </c>
      <c r="F17" s="7">
        <v>250</v>
      </c>
      <c r="G17" t="s">
        <v>25</v>
      </c>
    </row>
    <row r="18" spans="2:7" x14ac:dyDescent="0.3">
      <c r="B18" s="8">
        <v>14</v>
      </c>
      <c r="C18" s="9">
        <v>46273</v>
      </c>
      <c r="D18" s="7" t="s">
        <v>8</v>
      </c>
      <c r="E18" s="7" t="str">
        <f>IFERROR(VLOOKUP(D18,Table1[#All],2,0),"")</f>
        <v>Sandios</v>
      </c>
      <c r="F18" s="7">
        <v>350</v>
      </c>
      <c r="G18" t="s">
        <v>25</v>
      </c>
    </row>
    <row r="19" spans="2:7" x14ac:dyDescent="0.3">
      <c r="B19" s="8">
        <v>15</v>
      </c>
      <c r="C19" s="9">
        <v>46274</v>
      </c>
      <c r="D19" s="7" t="s">
        <v>8</v>
      </c>
      <c r="E19" s="7" t="str">
        <f>IFERROR(VLOOKUP(D19,Table1[#All],2,0),"")</f>
        <v>Sandios</v>
      </c>
      <c r="F19" s="7">
        <v>75</v>
      </c>
      <c r="G19" t="s">
        <v>25</v>
      </c>
    </row>
    <row r="20" spans="2:7" x14ac:dyDescent="0.3">
      <c r="B20" s="8">
        <v>16</v>
      </c>
      <c r="C20" s="9">
        <v>46275</v>
      </c>
      <c r="D20" s="7" t="s">
        <v>7</v>
      </c>
      <c r="E20" s="7" t="str">
        <f>IFERROR(VLOOKUP(D20,Table1[#All],2,0),"")</f>
        <v>Carbon</v>
      </c>
      <c r="F20" s="7">
        <v>500</v>
      </c>
      <c r="G20" t="s">
        <v>25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25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25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25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25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25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25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25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25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25</v>
      </c>
    </row>
    <row r="30" spans="2:7" x14ac:dyDescent="0.3">
      <c r="B30" s="8">
        <v>26</v>
      </c>
      <c r="C30" s="7"/>
      <c r="D30" s="7"/>
      <c r="E30" s="7"/>
      <c r="F30" s="7"/>
      <c r="G30" t="s">
        <v>25</v>
      </c>
    </row>
    <row r="31" spans="2:7" x14ac:dyDescent="0.3">
      <c r="B31" s="8">
        <v>27</v>
      </c>
      <c r="C31" s="7"/>
      <c r="D31" s="7"/>
      <c r="E31" s="7"/>
      <c r="F31" s="7"/>
      <c r="G31" t="s">
        <v>25</v>
      </c>
    </row>
    <row r="32" spans="2:7" x14ac:dyDescent="0.3">
      <c r="B32" s="8">
        <v>28</v>
      </c>
      <c r="C32" s="7"/>
      <c r="D32" s="7"/>
      <c r="E32" s="7"/>
      <c r="F32" s="7"/>
      <c r="G32" t="s">
        <v>25</v>
      </c>
    </row>
    <row r="33" spans="2:7" x14ac:dyDescent="0.3">
      <c r="B33" s="8">
        <v>29</v>
      </c>
      <c r="C33" s="7"/>
      <c r="D33" s="7"/>
      <c r="E33" s="7"/>
      <c r="F33" s="7"/>
      <c r="G33" t="s">
        <v>25</v>
      </c>
    </row>
    <row r="34" spans="2:7" x14ac:dyDescent="0.3">
      <c r="B34" s="8">
        <v>30</v>
      </c>
      <c r="C34" s="7"/>
      <c r="D34" s="7"/>
      <c r="E34" s="7"/>
      <c r="F34" s="7"/>
      <c r="G34" t="s">
        <v>25</v>
      </c>
    </row>
    <row r="35" spans="2:7" x14ac:dyDescent="0.3">
      <c r="B35" s="8">
        <v>31</v>
      </c>
      <c r="C35" s="7"/>
      <c r="D35" s="7"/>
      <c r="E35" s="7"/>
      <c r="F35" s="7"/>
    </row>
    <row r="36" spans="2:7" x14ac:dyDescent="0.3">
      <c r="B36" s="8">
        <v>32</v>
      </c>
      <c r="C36" s="7"/>
      <c r="D36" s="7"/>
      <c r="E36" s="7"/>
      <c r="F36" s="7"/>
    </row>
    <row r="37" spans="2:7" x14ac:dyDescent="0.3">
      <c r="B37" s="8">
        <v>33</v>
      </c>
      <c r="C37" s="7"/>
      <c r="D37" s="7"/>
      <c r="E37" s="7"/>
      <c r="F37" s="7"/>
    </row>
    <row r="38" spans="2:7" x14ac:dyDescent="0.3">
      <c r="B38" s="8">
        <v>34</v>
      </c>
      <c r="C38" s="7"/>
      <c r="D38" s="7"/>
      <c r="E38" s="7"/>
      <c r="F38" s="7"/>
    </row>
    <row r="39" spans="2:7" x14ac:dyDescent="0.3">
      <c r="B39" s="8">
        <v>35</v>
      </c>
      <c r="C39" s="7"/>
      <c r="D39" s="7"/>
      <c r="E39" s="7"/>
      <c r="F39" s="7"/>
    </row>
    <row r="40" spans="2:7" x14ac:dyDescent="0.3">
      <c r="B40" s="8">
        <v>36</v>
      </c>
      <c r="C40" s="7"/>
      <c r="D40" s="7"/>
      <c r="E40" s="7"/>
      <c r="F40" s="7"/>
    </row>
    <row r="41" spans="2:7" x14ac:dyDescent="0.3">
      <c r="B41" s="8">
        <v>37</v>
      </c>
      <c r="C41" s="7"/>
      <c r="D41" s="7"/>
      <c r="E41" s="7"/>
      <c r="F41" s="7"/>
    </row>
    <row r="42" spans="2:7" x14ac:dyDescent="0.3">
      <c r="B42" s="8">
        <v>38</v>
      </c>
      <c r="C42" s="7"/>
      <c r="D42" s="7"/>
      <c r="E42" s="7"/>
      <c r="F42" s="7"/>
    </row>
    <row r="43" spans="2:7" x14ac:dyDescent="0.3">
      <c r="B43" s="8">
        <v>39</v>
      </c>
      <c r="C43" s="7"/>
      <c r="D43" s="7"/>
      <c r="E43" s="7"/>
      <c r="F43" s="7"/>
    </row>
    <row r="44" spans="2:7" x14ac:dyDescent="0.3">
      <c r="B44" s="8">
        <v>40</v>
      </c>
      <c r="C44" s="7"/>
      <c r="D44" s="7"/>
      <c r="E44" s="7"/>
      <c r="F44" s="7"/>
    </row>
    <row r="45" spans="2:7" x14ac:dyDescent="0.3">
      <c r="B45" s="8">
        <v>41</v>
      </c>
      <c r="C45" s="7"/>
      <c r="D45" s="7"/>
      <c r="E45" s="7"/>
      <c r="F45" s="7"/>
    </row>
    <row r="46" spans="2:7" x14ac:dyDescent="0.3">
      <c r="B46" s="8">
        <v>42</v>
      </c>
      <c r="C46" s="7"/>
      <c r="D46" s="7"/>
      <c r="E46" s="7"/>
      <c r="F46" s="7"/>
    </row>
    <row r="47" spans="2:7" x14ac:dyDescent="0.3">
      <c r="B47" s="8">
        <v>43</v>
      </c>
      <c r="C47" s="7"/>
      <c r="D47" s="7"/>
      <c r="E47" s="7"/>
      <c r="F47" s="7"/>
    </row>
    <row r="48" spans="2:7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2026-09-10T19:22:08Z</dcterms:modified>
</cp:coreProperties>
</file>