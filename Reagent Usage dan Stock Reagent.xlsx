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D1AF8E2C-FD9C-48DC-9869-37EB3B80D11B}" xr6:coauthVersionLast="47" xr6:coauthVersionMax="47" xr10:uidLastSave="{00000000-0000-0000-0000-000000000000}"/>
  <bookViews>
    <workbookView xWindow="-108" yWindow="-108" windowWidth="30936" windowHeight="16776" xr2:uid="{44BE0AC2-6033-44C2-8356-2F41A96EBF2E}"/>
  </bookViews>
  <sheets>
    <sheet name="Stock Barang" sheetId="1" r:id="rId1"/>
    <sheet name="Barang Masuk" sheetId="2" r:id="rId2"/>
    <sheet name="Barang Keluar 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5" i="3"/>
  <c r="E6" i="3"/>
  <c r="E7" i="3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5" i="1"/>
  <c r="F21" i="1"/>
  <c r="F1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<sst xmlns="http://schemas.openxmlformats.org/spreadsheetml/2006/main" count="85" uniqueCount="35">
  <si>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</si>
  <si>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</si>
  <si>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</si>
  <si>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</si>
  <si>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</si>
  <si>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</si>
  <si>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</si>
  <si>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</si>
  <si>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</si>
  <si>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</si>
  <si>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</si>
  <si>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</si>
  <si>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</si>
  <si>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</si>
  <si>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</si>
  <si>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</si>
  <si>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</si>
  <si>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</si>
  <si>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</si>
  <si>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</si>
  <si>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</si>
  <si>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</si>
  <si>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</si>
  <si>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</si>
  <si>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</si>
  <si>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</si>
  <si>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</si>
  <si>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</si>
  <si>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Batch 1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</si>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</sst>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1">
    <cellStyle name="Normal" xfId="0" builtinId="0"/>
  </cellStyles>
  <dxfs count="15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4" dataDxfId="12" headerRowBorderDxfId="13" tableBorderDxfId="11" totalsRowBorderDxfId="10">
  <autoFilter ref="B3:H21" xr:uid="{1AC36863-5F67-4496-A2C7-808F86C284A1}"/>
  <tableColumns count="7">
    <tableColumn id="2" xr3:uid="{E78837C8-954C-440F-BCB4-114AA4EBC159}" name="Kode Barang" dataDxfId="9"/>
    <tableColumn id="3" xr3:uid="{BB8DB245-EB50-4D84-9B3E-D2CF46896708}" name="Nama Barang" dataDxfId="8"/>
    <tableColumn id="4" xr3:uid="{36BAEBBD-D2E7-42F0-B8AF-873903FEFEA9}" name="Stok Awal " dataDxfId="7"/>
    <tableColumn id="5" xr3:uid="{3DA331B5-0C1B-4517-AC2B-660041411D0B}" name="Barang Masuk" dataDxfId="6">
      <calculatedColumnFormula>SUMIF('Barang Masuk'!$E$5:$E$29,Table1[[#This Row],[Nama Barang]],'Barang Masuk'!$F$5:$F$29)</calculatedColumnFormula>
    </tableColumn>
    <tableColumn id="6" xr3:uid="{4231B6CF-326F-44B2-8A60-3DCCDB55861D}" name="Barang Keluar " dataDxfId="5">
      <calculatedColumnFormula>SUMIF('Barang Keluar '!$E$5:$E$29,Table1[[#This Row],[Nama Barang]],'Barang Keluar '!$F$5:$F$29)</calculatedColumnFormula>
    </tableColumn>
    <tableColumn id="7" xr3:uid="{9472852C-4AF5-44FD-A6F5-E9EDEDD511AE}" name="Stock Akhir" dataDxfId="0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tabSelected="1" zoomScale="84" workbookViewId="0">
      <selection activeCell="K9" sqref="K9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2" t="s">
        <v>23</v>
      </c>
      <c r="C1" s="12"/>
      <c r="D1" s="12"/>
      <c r="E1" s="12"/>
      <c r="F1" s="12"/>
      <c r="G1" s="12"/>
    </row>
    <row r="3" spans="2:8" x14ac:dyDescent="0.3">
      <c r="B3" s="5" t="s">
        <v>1</v>
      </c>
      <c r="C3" s="5" t="s">
        <v>2</v>
      </c>
      <c r="D3" s="5" t="s">
        <v>31</v>
      </c>
      <c r="E3" s="5" t="s">
        <v>3</v>
      </c>
      <c r="F3" s="5" t="s">
        <v>4</v>
      </c>
      <c r="G3" s="6" t="s">
        <v>5</v>
      </c>
      <c r="H3" s="5" t="s">
        <v>33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4">
        <f>(Table1[[#This Row],[Barang Masuk]]+Table1[[#This Row],[Stok Awal ]])-Table1[[#This Row],[Barang Keluar ]]</f>
        <v>150</v>
      </c>
      <c r="H4" s="13" t="s">
        <v>34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2000</v>
      </c>
      <c r="G5" s="14">
        <f>(Table1[[#This Row],[Barang Masuk]]+Table1[[#This Row],[Stok Awal ]])-Table1[[#This Row],[Barang Keluar ]]</f>
        <v>3000</v>
      </c>
      <c r="H5" s="13" t="s">
        <v>34</v>
      </c>
    </row>
    <row r="6" spans="2:8" ht="15.6" x14ac:dyDescent="0.3">
      <c r="B6" s="2" t="s">
        <v>8</v>
      </c>
      <c r="C6" s="2" t="s">
        <v>13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375</v>
      </c>
      <c r="G6" s="14">
        <f>(Table1[[#This Row],[Barang Masuk]]+Table1[[#This Row],[Stok Awal ]])-Table1[[#This Row],[Barang Keluar ]]</f>
        <v>5525</v>
      </c>
      <c r="H6" s="13" t="s">
        <v>34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1500</v>
      </c>
      <c r="G7" s="14">
        <f>(Table1[[#This Row],[Barang Masuk]]+Table1[[#This Row],[Stok Awal ]])-Table1[[#This Row],[Barang Keluar ]]</f>
        <v>6000</v>
      </c>
      <c r="H7" s="13" t="s">
        <v>34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4">
        <f>(Table1[[#This Row],[Barang Masuk]]+Table1[[#This Row],[Stok Awal ]])-Table1[[#This Row],[Barang Keluar ]]</f>
        <v>400</v>
      </c>
      <c r="H8" s="13" t="s">
        <v>34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4">
        <f>(Table1[[#This Row],[Barang Masuk]]+Table1[[#This Row],[Stok Awal ]])-Table1[[#This Row],[Barang Keluar ]]</f>
        <v>0</v>
      </c>
      <c r="H9" s="13" t="s">
        <v>34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4">
        <f>(Table1[[#This Row],[Barang Masuk]]+Table1[[#This Row],[Stok Awal ]])-Table1[[#This Row],[Barang Keluar ]]</f>
        <v>125</v>
      </c>
      <c r="H10" s="13" t="s">
        <v>32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5">
        <f>(Table1[[#This Row],[Barang Masuk]]+Table1[[#This Row],[Stok Awal ]])-Table1[[#This Row],[Barang Keluar ]]</f>
        <v>14975</v>
      </c>
      <c r="H11" s="13" t="s">
        <v>34</v>
      </c>
    </row>
    <row r="12" spans="2:8" x14ac:dyDescent="0.3">
      <c r="B12" s="2" t="s">
        <v>30</v>
      </c>
      <c r="C12" s="2" t="s">
        <v>29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25</v>
      </c>
      <c r="G12" s="15">
        <f>(Table1[[#This Row],[Barang Masuk]]+Table1[[#This Row],[Stok Awal ]])-Table1[[#This Row],[Barang Keluar ]]</f>
        <v>6400</v>
      </c>
      <c r="H12" s="13" t="s">
        <v>34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5">
        <f>(Table1[[#This Row],[Barang Masuk]]+Table1[[#This Row],[Stok Awal ]])-Table1[[#This Row],[Barang Keluar ]]</f>
        <v>0</v>
      </c>
      <c r="H13" s="13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5">
        <f>(Table1[[#This Row],[Barang Masuk]]+Table1[[#This Row],[Stok Awal ]])-Table1[[#This Row],[Barang Keluar ]]</f>
        <v>0</v>
      </c>
      <c r="H14" s="13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5">
        <f>(Table1[[#This Row],[Barang Masuk]]+Table1[[#This Row],[Stok Awal ]])-Table1[[#This Row],[Barang Keluar ]]</f>
        <v>0</v>
      </c>
      <c r="H15" s="13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5">
        <f>(Table1[[#This Row],[Barang Masuk]]+Table1[[#This Row],[Stok Awal ]])-Table1[[#This Row],[Barang Keluar ]]</f>
        <v>0</v>
      </c>
      <c r="H16" s="13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5">
        <f>(Table1[[#This Row],[Barang Masuk]]+Table1[[#This Row],[Stok Awal ]])-Table1[[#This Row],[Barang Keluar ]]</f>
        <v>0</v>
      </c>
      <c r="H17" s="13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5">
        <f>(Table1[[#This Row],[Barang Masuk]]+Table1[[#This Row],[Stok Awal ]])-Table1[[#This Row],[Barang Keluar ]]</f>
        <v>0</v>
      </c>
      <c r="H18" s="13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5">
        <f>(Table1[[#This Row],[Barang Masuk]]+Table1[[#This Row],[Stok Awal ]])-Table1[[#This Row],[Barang Keluar ]]</f>
        <v>0</v>
      </c>
      <c r="H19" s="13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5">
        <f>(Table1[[#This Row],[Barang Masuk]]+Table1[[#This Row],[Stok Awal ]])-Table1[[#This Row],[Barang Keluar ]]</f>
        <v>0</v>
      </c>
      <c r="H20" s="13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6">
        <f>(Table1[[#This Row],[Barang Masuk]]+Table1[[#This Row],[Stok Awal ]])-Table1[[#This Row],[Barang Keluar ]]</f>
        <v>0</v>
      </c>
      <c r="H21" s="13"/>
    </row>
  </sheetData>
  <mergeCells count="1">
    <mergeCell ref="B1:G1"/>
  </mergeCells>
  <conditionalFormatting sqref="G1:G1048576">
    <cfRule type="cellIs" dxfId="4" priority="1" operator="greaterThan">
      <formula>3999</formula>
    </cfRule>
  </conditionalFormatting>
  <conditionalFormatting sqref="G4:G10">
    <cfRule type="cellIs" dxfId="3" priority="2" operator="greaterThan">
      <formula>500</formula>
    </cfRule>
    <cfRule type="cellIs" dxfId="2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29"/>
  <sheetViews>
    <sheetView workbookViewId="0">
      <selection activeCell="F5" sqref="F5: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29"/>
  <sheetViews>
    <sheetView workbookViewId="0">
      <selection activeCell="F11" sqref="F11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H6" t="s">
        <v>28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7</v>
      </c>
      <c r="E7" s="7" t="str">
        <f>IFERROR(VLOOKUP(D7,Table1[#All],2,0),"")</f>
        <v>Carbon</v>
      </c>
      <c r="F7" s="7">
        <v>1000</v>
      </c>
      <c r="G7" t="s">
        <v>25</v>
      </c>
      <c r="H7" t="s">
        <v>28</v>
      </c>
      <c r="J7" t="s">
        <v>7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Kapur</v>
      </c>
      <c r="F8" s="7">
        <v>1250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30</v>
      </c>
      <c r="E9" s="7" t="str">
        <f>IFERROR(VLOOKUP(D9,Table1[#All],2,0),"")</f>
        <v>Floculant</v>
      </c>
      <c r="F9" s="7">
        <v>25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7</v>
      </c>
      <c r="E10" s="7" t="str">
        <f>IFERROR(VLOOKUP(D10,Table1[#All],2,0),"")</f>
        <v>Carbon</v>
      </c>
      <c r="F10" s="7">
        <v>1000</v>
      </c>
      <c r="G10" t="s">
        <v>25</v>
      </c>
    </row>
    <row r="11" spans="2:11" x14ac:dyDescent="0.3">
      <c r="B11" s="8">
        <v>7</v>
      </c>
      <c r="C11" s="7"/>
      <c r="D11" s="7"/>
      <c r="E11" s="7" t="str">
        <f>IFERROR(VLOOKUP(D11,Table1[#All],2,0),"")</f>
        <v/>
      </c>
      <c r="F11" s="7"/>
      <c r="G11" t="s">
        <v>25</v>
      </c>
    </row>
    <row r="12" spans="2:11" x14ac:dyDescent="0.3">
      <c r="B12" s="8">
        <v>8</v>
      </c>
      <c r="C12" s="7"/>
      <c r="D12" s="7"/>
      <c r="E12" s="7" t="str">
        <f>IFERROR(VLOOKUP(D12,Table1[#All],2,0),"")</f>
        <v/>
      </c>
      <c r="F12" s="7"/>
      <c r="G12" t="s">
        <v>25</v>
      </c>
    </row>
    <row r="13" spans="2:11" x14ac:dyDescent="0.3">
      <c r="B13" s="8">
        <v>9</v>
      </c>
      <c r="C13" s="7"/>
      <c r="D13" s="7"/>
      <c r="E13" s="7" t="str">
        <f>IFERROR(VLOOKUP(D13,Table1[#All],2,0),"")</f>
        <v/>
      </c>
      <c r="F13" s="7"/>
      <c r="G13" t="s">
        <v>25</v>
      </c>
    </row>
    <row r="14" spans="2:11" x14ac:dyDescent="0.3">
      <c r="B14" s="8">
        <v>10</v>
      </c>
      <c r="C14" s="7"/>
      <c r="D14" s="7"/>
      <c r="E14" s="7" t="str">
        <f>IFERROR(VLOOKUP(D14,Table1[#All],2,0),"")</f>
        <v/>
      </c>
      <c r="F14" s="7"/>
      <c r="G14" t="s">
        <v>25</v>
      </c>
    </row>
    <row r="15" spans="2:11" x14ac:dyDescent="0.3">
      <c r="B15" s="8">
        <v>11</v>
      </c>
      <c r="C15" s="7"/>
      <c r="D15" s="7"/>
      <c r="E15" s="7" t="str">
        <f>IFERROR(VLOOKUP(D15,Table1[#All],2,0),"")</f>
        <v/>
      </c>
      <c r="F15" s="7"/>
      <c r="G15" t="s">
        <v>25</v>
      </c>
    </row>
    <row r="16" spans="2:11" x14ac:dyDescent="0.3">
      <c r="B16" s="8">
        <v>12</v>
      </c>
      <c r="C16" s="7"/>
      <c r="D16" s="7"/>
      <c r="E16" s="7" t="str">
        <f>IFERROR(VLOOKUP(D16,Table1[#All],2,0),"")</f>
        <v/>
      </c>
      <c r="F16" s="7"/>
      <c r="G16" t="s">
        <v>25</v>
      </c>
    </row>
    <row r="17" spans="2:7" x14ac:dyDescent="0.3">
      <c r="B17" s="8">
        <v>13</v>
      </c>
      <c r="C17" s="7"/>
      <c r="D17" s="7"/>
      <c r="E17" s="7" t="str">
        <f>IFERROR(VLOOKUP(D17,Table1[#All],2,0),"")</f>
        <v/>
      </c>
      <c r="F17" s="7"/>
      <c r="G17" t="s">
        <v>25</v>
      </c>
    </row>
    <row r="18" spans="2:7" x14ac:dyDescent="0.3">
      <c r="B18" s="8">
        <v>14</v>
      </c>
      <c r="C18" s="7"/>
      <c r="D18" s="7"/>
      <c r="E18" s="7" t="str">
        <f>IFERROR(VLOOKUP(D18,Table1[#All],2,0),"")</f>
        <v/>
      </c>
      <c r="F18" s="7"/>
      <c r="G18" t="s">
        <v>25</v>
      </c>
    </row>
    <row r="19" spans="2:7" x14ac:dyDescent="0.3">
      <c r="B19" s="8">
        <v>15</v>
      </c>
      <c r="C19" s="7"/>
      <c r="D19" s="7"/>
      <c r="E19" s="7" t="str">
        <f>IFERROR(VLOOKUP(D19,Table1[#All],2,0),"")</f>
        <v/>
      </c>
      <c r="F19" s="7"/>
      <c r="G19" t="s">
        <v>25</v>
      </c>
    </row>
    <row r="20" spans="2:7" x14ac:dyDescent="0.3">
      <c r="B20" s="8">
        <v>16</v>
      </c>
      <c r="C20" s="7"/>
      <c r="D20" s="7"/>
      <c r="E20" s="7" t="str">
        <f>IFERROR(VLOOKUP(D20,Table1[#All],2,0),"")</f>
        <v/>
      </c>
      <c r="F20" s="7"/>
      <c r="G20" t="s">
        <v>25</v>
      </c>
    </row>
    <row r="21" spans="2:7" x14ac:dyDescent="0.3">
      <c r="B21" s="8">
        <v>17</v>
      </c>
      <c r="C21" s="7"/>
      <c r="D21" s="7"/>
      <c r="E21" s="7" t="str">
        <f>IFERROR(VLOOKUP(D21,Table1[#All],2,0),"")</f>
        <v/>
      </c>
      <c r="F21" s="7"/>
      <c r="G21" t="s">
        <v>25</v>
      </c>
    </row>
    <row r="22" spans="2:7" x14ac:dyDescent="0.3">
      <c r="B22" s="8">
        <v>18</v>
      </c>
      <c r="C22" s="7"/>
      <c r="D22" s="7"/>
      <c r="E22" s="7" t="str">
        <f>IFERROR(VLOOKUP(D22,Table1[#All],2,0),"")</f>
        <v/>
      </c>
      <c r="F22" s="7"/>
      <c r="G22" t="s">
        <v>25</v>
      </c>
    </row>
    <row r="23" spans="2:7" x14ac:dyDescent="0.3">
      <c r="B23" s="8">
        <v>19</v>
      </c>
      <c r="C23" s="7"/>
      <c r="D23" s="7"/>
      <c r="E23" s="7" t="str">
        <f>IFERROR(VLOOKUP(D23,Table1[#All],2,0),"")</f>
        <v/>
      </c>
      <c r="F23" s="7"/>
      <c r="G23" t="s">
        <v>25</v>
      </c>
    </row>
    <row r="24" spans="2:7" x14ac:dyDescent="0.3">
      <c r="B24" s="8">
        <v>20</v>
      </c>
      <c r="C24" s="7"/>
      <c r="D24" s="7"/>
      <c r="E24" s="7" t="str">
        <f>IFERROR(VLOOKUP(D24,Table1[#All],2,0),"")</f>
        <v/>
      </c>
      <c r="F24" s="7"/>
      <c r="G24" t="s">
        <v>25</v>
      </c>
    </row>
    <row r="25" spans="2:7" x14ac:dyDescent="0.3">
      <c r="B25" s="8">
        <v>21</v>
      </c>
      <c r="C25" s="7"/>
      <c r="D25" s="7"/>
      <c r="E25" s="7" t="str">
        <f>IFERROR(VLOOKUP(D25,Table1[#All],2,0),"")</f>
        <v/>
      </c>
      <c r="F25" s="7"/>
      <c r="G25" t="s">
        <v>25</v>
      </c>
    </row>
    <row r="26" spans="2:7" x14ac:dyDescent="0.3">
      <c r="B26" s="8">
        <v>22</v>
      </c>
      <c r="C26" s="7"/>
      <c r="D26" s="7"/>
      <c r="E26" s="7" t="str">
        <f>IFERROR(VLOOKUP(D26,Table1[#All],2,0),"")</f>
        <v/>
      </c>
      <c r="F26" s="7"/>
      <c r="G26" t="s">
        <v>25</v>
      </c>
    </row>
    <row r="27" spans="2:7" x14ac:dyDescent="0.3">
      <c r="B27" s="8">
        <v>23</v>
      </c>
      <c r="C27" s="7"/>
      <c r="D27" s="7"/>
      <c r="E27" s="7" t="str">
        <f>IFERROR(VLOOKUP(D27,Table1[#All],2,0),"")</f>
        <v/>
      </c>
      <c r="F27" s="7"/>
      <c r="G27" t="s">
        <v>25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25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25</v>
      </c>
    </row>
  </sheetData>
  <dataValidations count="1">
    <dataValidation type="list" allowBlank="1" showInputMessage="1" showErrorMessage="1" sqref="G5:G29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G19" sqref="G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Barang Keluar 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2026-07-30T02:28:45Z</dcterms:created>
  <dcterms:modified xsi:type="dcterms:W3CDTF">2026-09-03T05:23:44Z</dcterms:modified>
</cp:coreProperties>
</file>