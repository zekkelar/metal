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76121045-5826-4AEB-8D1A-19F47163B6E9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Barang Keluar 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2" l="1"/>
  <c r="E6" i="2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F5" i="1"/>
  <c r="F21" i="1"/>
  <c r="F11" i="1"/>
  <c r="F13" i="1"/>
  <c r="F15" i="1"/>
  <c r="F17" i="1"/>
  <c r="F20" i="1"/>
  <c r="F6" i="1"/>
  <c r="F7" i="1"/>
  <c r="F9" i="1"/>
  <c r="F10" i="1"/>
  <c r="F12" i="1"/>
  <c r="F16" i="1"/>
  <c r="F18" i="1"/>
  <c r="F8" i="1"/>
  <c r="F14" i="1"/>
  <c r="F19" i="1"/>
  <c r="E4" i="1"/>
  <c r="F4" i="1"/>
  <c r="G7" i="1" l="1"/>
  <c r="G15" i="1"/>
  <c r="G5" i="1"/>
  <c r="G11" i="1"/>
  <c r="G17" i="1"/>
  <c r="G21" i="1"/>
  <c r="G16" i="1"/>
  <c r="G8" i="1"/>
  <c r="G4" i="1"/>
  <c r="G20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<sst xmlns="http://schemas.openxmlformats.org/spreadsheetml/2006/main" count="68" uniqueCount="30">
  <si>
    <t>No</t>
  </si>
  <si>
    <t>Kode Barang</t>
  </si>
  <si>
    <t>Nama Barang</t>
  </si>
  <si>
    <t>Stok Awal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</si>
  <si>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</si>
  <si>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</si>
  <si>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</si>
  <si>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</si>
  <si>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</si>
  <si>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</si>
  <si>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</si>
  <si>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</si>
  <si>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</si>
  <si>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</si>
  <si>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</si>
  <si>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</si>
  <si>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</si>
  <si>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</si>
  <si>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</si>
  <si>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</si>
  <si>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</si>
  <si>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</si>
  <si>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</si>
  <si>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</si>
  <si>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</si>
  <si>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</si>
  <si>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</si>
  <si>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</si>
  <si>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</si>
  <si>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Batch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</si>
</sst>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0" xfId="0" applyFont="1" applyFill="1"/>
    <xf numFmtId="0" fontId="4" fillId="2" borderId="2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G21" totalsRowShown="0" headerRowDxfId="12" dataDxfId="10" headerRowBorderDxfId="11" tableBorderDxfId="9" totalsRowBorderDxfId="8">
  <autoFilter ref="B3:G21" xr:uid="{1AC36863-5F67-4496-A2C7-808F86C284A1}"/>
  <tableColumns count="6">
    <tableColumn id="2" xr3:uid="{E78837C8-954C-440F-BCB4-114AA4EBC159}" name="Kode Barang" dataDxfId="7"/>
    <tableColumn id="3" xr3:uid="{BB8DB245-EB50-4D84-9B3E-D2CF46896708}" name="Nama Barang" dataDxfId="6"/>
    <tableColumn id="4" xr3:uid="{36BAEBBD-D2E7-42F0-B8AF-873903FEFEA9}" name="Stok Awal" dataDxfId="5"/>
    <tableColumn id="5" xr3:uid="{3DA331B5-0C1B-4517-AC2B-660041411D0B}" name="Barang Masuk" dataDxfId="4">
      <calculatedColumnFormula>SUMIF('Barang Masuk'!$E$5:$E$29,Table1[[#This Row],[Nama Barang]],'Barang Masuk'!$F$5:$F$29)</calculatedColumnFormula>
    </tableColumn>
    <tableColumn id="6" xr3:uid="{4231B6CF-326F-44B2-8A60-3DCCDB55861D}" name="Barang Keluar " dataDxfId="3">
      <calculatedColumnFormula>SUMIF('Barang Keluar '!$E$5:$E$29,Table1[[#This Row],[Nama Barang]],'Barang Keluar '!$F$5:$F$29)</calculatedColumnFormula>
    </tableColumn>
    <tableColumn id="7" xr3:uid="{9472852C-4AF5-44FD-A6F5-E9EDEDD511AE}" name="Stock Akhir" dataDxfId="2">
      <calculatedColumnFormula>(Table1[[#This Row],[Barang Masuk]]+Table1[[#This Row],[Stok Awal]])-Table1[[#This Row],[Barang Keluar 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G21"/>
  <sheetViews>
    <sheetView tabSelected="1" zoomScale="84" workbookViewId="0">
      <selection activeCell="J15" sqref="J15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3.5546875" style="1" bestFit="1" customWidth="1"/>
    <col min="5" max="5" width="16.77734375" style="1" bestFit="1" customWidth="1"/>
    <col min="6" max="6" width="17.109375" style="1" bestFit="1" customWidth="1"/>
    <col min="7" max="7" width="17.33203125" style="12" customWidth="1"/>
    <col min="8" max="16384" width="8.88671875" style="1"/>
  </cols>
  <sheetData>
    <row r="1" spans="2:7" ht="18" x14ac:dyDescent="0.35">
      <c r="B1" s="15" t="s">
        <v>24</v>
      </c>
      <c r="C1" s="15"/>
      <c r="D1" s="15"/>
      <c r="E1" s="15"/>
      <c r="F1" s="15"/>
      <c r="G1" s="15"/>
    </row>
    <row r="3" spans="2:7" x14ac:dyDescent="0.3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6</v>
      </c>
    </row>
    <row r="4" spans="2:7" ht="15.6" x14ac:dyDescent="0.3">
      <c r="B4" s="2" t="s">
        <v>7</v>
      </c>
      <c r="C4" s="2" t="s">
        <v>12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'!$E$5:$E$29,Table1[[#This Row],[Nama Barang]],'Barang Keluar '!$F$5:$F$29)</f>
        <v>0</v>
      </c>
      <c r="G4" s="13">
        <f>(Table1[[#This Row],[Barang Masuk]]+Table1[[#This Row],[Stok Awal]])-Table1[[#This Row],[Barang Keluar ]]</f>
        <v>150</v>
      </c>
    </row>
    <row r="5" spans="2:7" ht="15.6" x14ac:dyDescent="0.3">
      <c r="B5" s="2" t="s">
        <v>8</v>
      </c>
      <c r="C5" s="2" t="s">
        <v>13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'!$E$5:$E$29,Table1[[#This Row],[Nama Barang]],'Barang Keluar '!$F$5:$F$29)</f>
        <v>1000</v>
      </c>
      <c r="G5" s="13">
        <f>(Table1[[#This Row],[Barang Masuk]]+Table1[[#This Row],[Stok Awal]])-Table1[[#This Row],[Barang Keluar ]]</f>
        <v>4000</v>
      </c>
    </row>
    <row r="6" spans="2:7" ht="15.6" x14ac:dyDescent="0.3">
      <c r="B6" s="2" t="s">
        <v>9</v>
      </c>
      <c r="C6" s="2" t="s">
        <v>14</v>
      </c>
      <c r="D6" s="2">
        <v>5900</v>
      </c>
      <c r="E6" s="2">
        <f>SUMIF('Barang Masuk'!$E$5:$E$29,Table1[[#This Row],[Nama Barang]],'Barang Masuk'!$F$5:$F$29)</f>
        <v>0</v>
      </c>
      <c r="F6" s="2">
        <f>SUMIF('Barang Keluar '!$E$5:$E$29,Table1[[#This Row],[Nama Barang]],'Barang Keluar '!$F$5:$F$29)</f>
        <v>250</v>
      </c>
      <c r="G6" s="13">
        <f>(Table1[[#This Row],[Barang Masuk]]+Table1[[#This Row],[Stok Awal]])-Table1[[#This Row],[Barang Keluar ]]</f>
        <v>5650</v>
      </c>
    </row>
    <row r="7" spans="2:7" ht="15.6" x14ac:dyDescent="0.3">
      <c r="B7" s="2" t="s">
        <v>10</v>
      </c>
      <c r="C7" s="2" t="s">
        <v>15</v>
      </c>
      <c r="D7" s="2">
        <v>7500</v>
      </c>
      <c r="E7" s="2">
        <f>SUMIF('Barang Masuk'!$E$5:$E$29,Table1[[#This Row],[Nama Barang]],'Barang Masuk'!$F$5:$F$29)</f>
        <v>0</v>
      </c>
      <c r="F7" s="2">
        <f>SUMIF('Barang Keluar '!$E$5:$E$29,Table1[[#This Row],[Nama Barang]],'Barang Keluar '!$F$5:$F$29)</f>
        <v>0</v>
      </c>
      <c r="G7" s="13">
        <f>(Table1[[#This Row],[Barang Masuk]]+Table1[[#This Row],[Stok Awal]])-Table1[[#This Row],[Barang Keluar ]]</f>
        <v>7500</v>
      </c>
    </row>
    <row r="8" spans="2:7" ht="15.6" x14ac:dyDescent="0.3">
      <c r="B8" s="2" t="s">
        <v>11</v>
      </c>
      <c r="C8" s="2" t="s">
        <v>16</v>
      </c>
      <c r="D8" s="2">
        <v>400</v>
      </c>
      <c r="E8" s="2">
        <f>SUMIF('Barang Masuk'!$E$5:$E$29,Table1[[#This Row],[Nama Barang]],'Barang Masuk'!$F$5:$F$29)</f>
        <v>0</v>
      </c>
      <c r="F8" s="2">
        <f>SUMIF('Barang Keluar '!$E$5:$E$29,Table1[[#This Row],[Nama Barang]],'Barang Keluar '!$F$5:$F$29)</f>
        <v>0</v>
      </c>
      <c r="G8" s="13">
        <f>(Table1[[#This Row],[Barang Masuk]]+Table1[[#This Row],[Stok Awal]])-Table1[[#This Row],[Barang Keluar ]]</f>
        <v>400</v>
      </c>
    </row>
    <row r="9" spans="2:7" ht="15.6" x14ac:dyDescent="0.3">
      <c r="B9" s="2" t="s">
        <v>17</v>
      </c>
      <c r="C9" s="2" t="s">
        <v>18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'!$E$5:$E$29,Table1[[#This Row],[Nama Barang]],'Barang Keluar '!$F$5:$F$29)</f>
        <v>0</v>
      </c>
      <c r="G9" s="13">
        <f>(Table1[[#This Row],[Barang Masuk]]+Table1[[#This Row],[Stok Awal]])-Table1[[#This Row],[Barang Keluar ]]</f>
        <v>0</v>
      </c>
    </row>
    <row r="10" spans="2:7" ht="15.6" x14ac:dyDescent="0.3">
      <c r="B10" s="2" t="s">
        <v>19</v>
      </c>
      <c r="C10" s="2" t="s">
        <v>19</v>
      </c>
      <c r="D10" s="2">
        <v>125</v>
      </c>
      <c r="E10" s="2">
        <f>SUMIF('Barang Masuk'!$E$5:$E$29,Table1[[#This Row],[Nama Barang]],'Barang Masuk'!$F$5:$F$29)</f>
        <v>0</v>
      </c>
      <c r="F10" s="2">
        <f>SUMIF('Barang Keluar '!$E$5:$E$29,Table1[[#This Row],[Nama Barang]],'Barang Keluar '!$F$5:$F$29)</f>
        <v>0</v>
      </c>
      <c r="G10" s="13">
        <f>(Table1[[#This Row],[Barang Masuk]]+Table1[[#This Row],[Stok Awal]])-Table1[[#This Row],[Barang Keluar ]]</f>
        <v>125</v>
      </c>
    </row>
    <row r="11" spans="2:7" x14ac:dyDescent="0.3">
      <c r="B11" s="2" t="s">
        <v>23</v>
      </c>
      <c r="C11" s="2" t="s">
        <v>23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'!$E$5:$E$29,Table1[[#This Row],[Nama Barang]],'Barang Keluar '!$F$5:$F$29)</f>
        <v>0</v>
      </c>
      <c r="G11" s="10">
        <f>(Table1[[#This Row],[Barang Masuk]]+Table1[[#This Row],[Stok Awal]])-Table1[[#This Row],[Barang Keluar ]]</f>
        <v>14975</v>
      </c>
    </row>
    <row r="12" spans="2:7" x14ac:dyDescent="0.3">
      <c r="B12" s="2"/>
      <c r="C12" s="2"/>
      <c r="D12" s="2"/>
      <c r="E12" s="2">
        <f>SUMIF('Barang Masuk'!$E$5:$E$29,Table1[[#This Row],[Nama Barang]],'Barang Masuk'!$F$5:$F$29)</f>
        <v>0</v>
      </c>
      <c r="F12" s="2">
        <f>SUMIF('Barang Keluar '!$E$5:$E$29,Table1[[#This Row],[Nama Barang]],'Barang Keluar '!$F$5:$F$29)</f>
        <v>0</v>
      </c>
      <c r="G12" s="10">
        <f>(Table1[[#This Row],[Barang Masuk]]+Table1[[#This Row],[Stok Awal]])-Table1[[#This Row],[Barang Keluar ]]</f>
        <v>0</v>
      </c>
    </row>
    <row r="13" spans="2:7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'!$E$5:$E$29,Table1[[#This Row],[Nama Barang]],'Barang Keluar '!$F$5:$F$29)</f>
        <v>0</v>
      </c>
      <c r="G13" s="10">
        <f>(Table1[[#This Row],[Barang Masuk]]+Table1[[#This Row],[Stok Awal]])-Table1[[#This Row],[Barang Keluar ]]</f>
        <v>0</v>
      </c>
    </row>
    <row r="14" spans="2:7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'!$E$5:$E$29,Table1[[#This Row],[Nama Barang]],'Barang Keluar '!$F$5:$F$29)</f>
        <v>0</v>
      </c>
      <c r="G14" s="10">
        <f>(Table1[[#This Row],[Barang Masuk]]+Table1[[#This Row],[Stok Awal]])-Table1[[#This Row],[Barang Keluar ]]</f>
        <v>0</v>
      </c>
    </row>
    <row r="15" spans="2:7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'!$E$5:$E$29,Table1[[#This Row],[Nama Barang]],'Barang Keluar '!$F$5:$F$29)</f>
        <v>0</v>
      </c>
      <c r="G15" s="10">
        <f>(Table1[[#This Row],[Barang Masuk]]+Table1[[#This Row],[Stok Awal]])-Table1[[#This Row],[Barang Keluar ]]</f>
        <v>0</v>
      </c>
    </row>
    <row r="16" spans="2:7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'!$E$5:$E$29,Table1[[#This Row],[Nama Barang]],'Barang Keluar '!$F$5:$F$29)</f>
        <v>0</v>
      </c>
      <c r="G16" s="10">
        <f>(Table1[[#This Row],[Barang Masuk]]+Table1[[#This Row],[Stok Awal]])-Table1[[#This Row],[Barang Keluar ]]</f>
        <v>0</v>
      </c>
    </row>
    <row r="17" spans="2:7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'!$E$5:$E$29,Table1[[#This Row],[Nama Barang]],'Barang Keluar '!$F$5:$F$29)</f>
        <v>0</v>
      </c>
      <c r="G17" s="10">
        <f>(Table1[[#This Row],[Barang Masuk]]+Table1[[#This Row],[Stok Awal]])-Table1[[#This Row],[Barang Keluar ]]</f>
        <v>0</v>
      </c>
    </row>
    <row r="18" spans="2:7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'!$E$5:$E$29,Table1[[#This Row],[Nama Barang]],'Barang Keluar '!$F$5:$F$29)</f>
        <v>0</v>
      </c>
      <c r="G18" s="10">
        <f>(Table1[[#This Row],[Barang Masuk]]+Table1[[#This Row],[Stok Awal]])-Table1[[#This Row],[Barang Keluar ]]</f>
        <v>0</v>
      </c>
    </row>
    <row r="19" spans="2:7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'!$E$5:$E$29,Table1[[#This Row],[Nama Barang]],'Barang Keluar '!$F$5:$F$29)</f>
        <v>0</v>
      </c>
      <c r="G19" s="10">
        <f>(Table1[[#This Row],[Barang Masuk]]+Table1[[#This Row],[Stok Awal]])-Table1[[#This Row],[Barang Keluar ]]</f>
        <v>0</v>
      </c>
    </row>
    <row r="20" spans="2:7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'!$E$5:$E$29,Table1[[#This Row],[Nama Barang]],'Barang Keluar '!$F$5:$F$29)</f>
        <v>0</v>
      </c>
      <c r="G20" s="10">
        <f>(Table1[[#This Row],[Barang Masuk]]+Table1[[#This Row],[Stok Awal]])-Table1[[#This Row],[Barang Keluar ]]</f>
        <v>0</v>
      </c>
    </row>
    <row r="21" spans="2:7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'!$E$5:$E$29,Table1[[#This Row],[Nama Barang]],'Barang Keluar '!$F$5:$F$29)</f>
        <v>0</v>
      </c>
      <c r="G21" s="11">
        <f>(Table1[[#This Row],[Barang Masuk]]+Table1[[#This Row],[Stok Awal]])-Table1[[#This Row],[Barang Keluar ]]</f>
        <v>0</v>
      </c>
    </row>
  </sheetData>
  <mergeCells count="1">
    <mergeCell ref="B1:G1"/>
  </mergeCells>
  <conditionalFormatting sqref="G4:G10">
    <cfRule type="cellIs" dxfId="1" priority="1" operator="greaterThan">
      <formula>500</formula>
    </cfRule>
    <cfRule type="cellIs" dxfId="0" priority="2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29"/>
  <sheetViews>
    <sheetView workbookViewId="0">
      <selection activeCell="F5" sqref="F5:F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21</v>
      </c>
    </row>
    <row r="5" spans="2:6" x14ac:dyDescent="0.3">
      <c r="B5" s="8">
        <v>1</v>
      </c>
      <c r="C5" s="9"/>
      <c r="D5" s="7"/>
      <c r="E5" s="7" t="str">
        <f>IFERROR(VLOOKUP(D5,Table1[#All],2,0),"")</f>
        <v/>
      </c>
      <c r="F5" s="7"/>
    </row>
    <row r="6" spans="2:6" x14ac:dyDescent="0.3">
      <c r="B6" s="8">
        <v>2</v>
      </c>
      <c r="C6" s="9"/>
      <c r="D6" s="7"/>
      <c r="E6" s="7" t="str">
        <f>IFERROR(VLOOKUP(D6,Table1[#All],2,0),"")</f>
        <v/>
      </c>
      <c r="F6" s="7"/>
    </row>
    <row r="7" spans="2:6" x14ac:dyDescent="0.3">
      <c r="B7" s="8">
        <v>3</v>
      </c>
      <c r="C7" s="7"/>
      <c r="D7" s="7"/>
      <c r="E7" s="7" t="str">
        <f>IFERROR(VLOOKUP(D7,Table1[#All],2,0),"")</f>
        <v/>
      </c>
      <c r="F7" s="7"/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29"/>
  <sheetViews>
    <sheetView workbookViewId="0">
      <selection activeCell="G8" sqref="G8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20</v>
      </c>
      <c r="D4" s="3" t="s">
        <v>1</v>
      </c>
      <c r="E4" s="3" t="s">
        <v>2</v>
      </c>
      <c r="F4" s="3" t="s">
        <v>22</v>
      </c>
      <c r="G4" s="14" t="s">
        <v>25</v>
      </c>
      <c r="H4" s="14" t="s">
        <v>28</v>
      </c>
    </row>
    <row r="5" spans="2:11" x14ac:dyDescent="0.3">
      <c r="B5" s="8">
        <v>1</v>
      </c>
      <c r="C5" s="9">
        <v>46262</v>
      </c>
      <c r="D5" s="7" t="s">
        <v>10</v>
      </c>
      <c r="E5" s="7" t="str">
        <f>IFERROR(VLOOKUP(D5,Table1[#All],2,0),"")</f>
        <v>Kapur</v>
      </c>
      <c r="F5" s="7"/>
      <c r="G5" t="s">
        <v>26</v>
      </c>
      <c r="K5" t="s">
        <v>26</v>
      </c>
    </row>
    <row r="6" spans="2:11" x14ac:dyDescent="0.3">
      <c r="B6" s="8">
        <v>2</v>
      </c>
      <c r="C6" s="9">
        <v>46265</v>
      </c>
      <c r="D6" s="7" t="s">
        <v>9</v>
      </c>
      <c r="E6" s="7" t="str">
        <f>IFERROR(VLOOKUP(D6,Table1[#All],2,0),"")</f>
        <v>Sandios</v>
      </c>
      <c r="F6" s="7">
        <v>150</v>
      </c>
      <c r="G6" t="s">
        <v>26</v>
      </c>
      <c r="H6" t="s">
        <v>29</v>
      </c>
      <c r="K6" t="s">
        <v>27</v>
      </c>
    </row>
    <row r="7" spans="2:11" x14ac:dyDescent="0.3">
      <c r="B7" s="8">
        <v>3</v>
      </c>
      <c r="C7" s="9">
        <v>46265</v>
      </c>
      <c r="D7" s="7" t="s">
        <v>8</v>
      </c>
      <c r="E7" s="7" t="str">
        <f>IFERROR(VLOOKUP(D7,Table1[#All],2,0),"")</f>
        <v>Carbon</v>
      </c>
      <c r="F7" s="7">
        <v>1000</v>
      </c>
      <c r="G7" t="s">
        <v>26</v>
      </c>
      <c r="H7" t="s">
        <v>29</v>
      </c>
    </row>
    <row r="8" spans="2:11" x14ac:dyDescent="0.3">
      <c r="B8" s="8">
        <v>4</v>
      </c>
      <c r="C8" s="9">
        <v>46266</v>
      </c>
      <c r="D8" s="7" t="s">
        <v>9</v>
      </c>
      <c r="E8" s="7" t="str">
        <f>IFERROR(VLOOKUP(D8,Table1[#All],2,0),"")</f>
        <v>Sandios</v>
      </c>
      <c r="F8" s="7">
        <v>100</v>
      </c>
      <c r="G8" t="s">
        <v>26</v>
      </c>
    </row>
    <row r="9" spans="2:11" x14ac:dyDescent="0.3">
      <c r="B9" s="8">
        <v>5</v>
      </c>
      <c r="C9" s="7"/>
      <c r="D9" s="7"/>
      <c r="E9" s="7" t="str">
        <f>IFERROR(VLOOKUP(D9,Table1[#All],2,0),"")</f>
        <v/>
      </c>
      <c r="F9" s="7"/>
      <c r="G9" t="s">
        <v>26</v>
      </c>
    </row>
    <row r="10" spans="2:11" x14ac:dyDescent="0.3">
      <c r="B10" s="8">
        <v>6</v>
      </c>
      <c r="C10" s="7"/>
      <c r="D10" s="7"/>
      <c r="E10" s="7" t="str">
        <f>IFERROR(VLOOKUP(D10,Table1[#All],2,0),"")</f>
        <v/>
      </c>
      <c r="F10" s="7"/>
      <c r="G10" t="s">
        <v>26</v>
      </c>
    </row>
    <row r="11" spans="2:11" x14ac:dyDescent="0.3">
      <c r="B11" s="8">
        <v>7</v>
      </c>
      <c r="C11" s="7"/>
      <c r="D11" s="7"/>
      <c r="E11" s="7" t="str">
        <f>IFERROR(VLOOKUP(D11,Table1[#All],2,0),"")</f>
        <v/>
      </c>
      <c r="F11" s="7"/>
      <c r="G11" t="s">
        <v>26</v>
      </c>
    </row>
    <row r="12" spans="2:11" x14ac:dyDescent="0.3">
      <c r="B12" s="8">
        <v>8</v>
      </c>
      <c r="C12" s="7"/>
      <c r="D12" s="7"/>
      <c r="E12" s="7" t="str">
        <f>IFERROR(VLOOKUP(D12,Table1[#All],2,0),"")</f>
        <v/>
      </c>
      <c r="F12" s="7"/>
      <c r="G12" t="s">
        <v>26</v>
      </c>
    </row>
    <row r="13" spans="2:11" x14ac:dyDescent="0.3">
      <c r="B13" s="8">
        <v>9</v>
      </c>
      <c r="C13" s="7"/>
      <c r="D13" s="7"/>
      <c r="E13" s="7" t="str">
        <f>IFERROR(VLOOKUP(D13,Table1[#All],2,0),"")</f>
        <v/>
      </c>
      <c r="F13" s="7"/>
      <c r="G13" t="s">
        <v>26</v>
      </c>
    </row>
    <row r="14" spans="2:11" x14ac:dyDescent="0.3">
      <c r="B14" s="8">
        <v>10</v>
      </c>
      <c r="C14" s="7"/>
      <c r="D14" s="7"/>
      <c r="E14" s="7" t="str">
        <f>IFERROR(VLOOKUP(D14,Table1[#All],2,0),"")</f>
        <v/>
      </c>
      <c r="F14" s="7"/>
      <c r="G14" t="s">
        <v>26</v>
      </c>
    </row>
    <row r="15" spans="2:11" x14ac:dyDescent="0.3">
      <c r="B15" s="8">
        <v>11</v>
      </c>
      <c r="C15" s="7"/>
      <c r="D15" s="7"/>
      <c r="E15" s="7" t="str">
        <f>IFERROR(VLOOKUP(D15,Table1[#All],2,0),"")</f>
        <v/>
      </c>
      <c r="F15" s="7"/>
      <c r="G15" t="s">
        <v>26</v>
      </c>
    </row>
    <row r="16" spans="2:11" x14ac:dyDescent="0.3">
      <c r="B16" s="8">
        <v>12</v>
      </c>
      <c r="C16" s="7"/>
      <c r="D16" s="7"/>
      <c r="E16" s="7" t="str">
        <f>IFERROR(VLOOKUP(D16,Table1[#All],2,0),"")</f>
        <v/>
      </c>
      <c r="F16" s="7"/>
      <c r="G16" t="s">
        <v>26</v>
      </c>
    </row>
    <row r="17" spans="2:7" x14ac:dyDescent="0.3">
      <c r="B17" s="8">
        <v>13</v>
      </c>
      <c r="C17" s="7"/>
      <c r="D17" s="7"/>
      <c r="E17" s="7" t="str">
        <f>IFERROR(VLOOKUP(D17,Table1[#All],2,0),"")</f>
        <v/>
      </c>
      <c r="F17" s="7"/>
      <c r="G17" t="s">
        <v>26</v>
      </c>
    </row>
    <row r="18" spans="2:7" x14ac:dyDescent="0.3">
      <c r="B18" s="8">
        <v>14</v>
      </c>
      <c r="C18" s="7"/>
      <c r="D18" s="7"/>
      <c r="E18" s="7" t="str">
        <f>IFERROR(VLOOKUP(D18,Table1[#All],2,0),"")</f>
        <v/>
      </c>
      <c r="F18" s="7"/>
      <c r="G18" t="s">
        <v>26</v>
      </c>
    </row>
    <row r="19" spans="2:7" x14ac:dyDescent="0.3">
      <c r="B19" s="8">
        <v>15</v>
      </c>
      <c r="C19" s="7"/>
      <c r="D19" s="7"/>
      <c r="E19" s="7" t="str">
        <f>IFERROR(VLOOKUP(D19,Table1[#All],2,0),"")</f>
        <v/>
      </c>
      <c r="F19" s="7"/>
      <c r="G19" t="s">
        <v>26</v>
      </c>
    </row>
    <row r="20" spans="2:7" x14ac:dyDescent="0.3">
      <c r="B20" s="8">
        <v>16</v>
      </c>
      <c r="C20" s="7"/>
      <c r="D20" s="7"/>
      <c r="E20" s="7" t="str">
        <f>IFERROR(VLOOKUP(D20,Table1[#All],2,0),"")</f>
        <v/>
      </c>
      <c r="F20" s="7"/>
      <c r="G20" t="s">
        <v>26</v>
      </c>
    </row>
    <row r="21" spans="2:7" x14ac:dyDescent="0.3">
      <c r="B21" s="8">
        <v>17</v>
      </c>
      <c r="C21" s="7"/>
      <c r="D21" s="7"/>
      <c r="E21" s="7" t="str">
        <f>IFERROR(VLOOKUP(D21,Table1[#All],2,0),"")</f>
        <v/>
      </c>
      <c r="F21" s="7"/>
      <c r="G21" t="s">
        <v>26</v>
      </c>
    </row>
    <row r="22" spans="2:7" x14ac:dyDescent="0.3">
      <c r="B22" s="8">
        <v>18</v>
      </c>
      <c r="C22" s="7"/>
      <c r="D22" s="7"/>
      <c r="E22" s="7" t="str">
        <f>IFERROR(VLOOKUP(D22,Table1[#All],2,0),"")</f>
        <v/>
      </c>
      <c r="F22" s="7"/>
      <c r="G22" t="s">
        <v>26</v>
      </c>
    </row>
    <row r="23" spans="2:7" x14ac:dyDescent="0.3">
      <c r="B23" s="8">
        <v>19</v>
      </c>
      <c r="C23" s="7"/>
      <c r="D23" s="7"/>
      <c r="E23" s="7" t="str">
        <f>IFERROR(VLOOKUP(D23,Table1[#All],2,0),"")</f>
        <v/>
      </c>
      <c r="F23" s="7"/>
      <c r="G23" t="s">
        <v>26</v>
      </c>
    </row>
    <row r="24" spans="2:7" x14ac:dyDescent="0.3">
      <c r="B24" s="8">
        <v>20</v>
      </c>
      <c r="C24" s="7"/>
      <c r="D24" s="7"/>
      <c r="E24" s="7" t="str">
        <f>IFERROR(VLOOKUP(D24,Table1[#All],2,0),"")</f>
        <v/>
      </c>
      <c r="F24" s="7"/>
      <c r="G24" t="s">
        <v>26</v>
      </c>
    </row>
    <row r="25" spans="2:7" x14ac:dyDescent="0.3">
      <c r="B25" s="8">
        <v>21</v>
      </c>
      <c r="C25" s="7"/>
      <c r="D25" s="7"/>
      <c r="E25" s="7" t="str">
        <f>IFERROR(VLOOKUP(D25,Table1[#All],2,0),"")</f>
        <v/>
      </c>
      <c r="F25" s="7"/>
      <c r="G25" t="s">
        <v>26</v>
      </c>
    </row>
    <row r="26" spans="2:7" x14ac:dyDescent="0.3">
      <c r="B26" s="8">
        <v>22</v>
      </c>
      <c r="C26" s="7"/>
      <c r="D26" s="7"/>
      <c r="E26" s="7" t="str">
        <f>IFERROR(VLOOKUP(D26,Table1[#All],2,0),"")</f>
        <v/>
      </c>
      <c r="F26" s="7"/>
      <c r="G26" t="s">
        <v>26</v>
      </c>
    </row>
    <row r="27" spans="2:7" x14ac:dyDescent="0.3">
      <c r="B27" s="8">
        <v>23</v>
      </c>
      <c r="C27" s="7"/>
      <c r="D27" s="7"/>
      <c r="E27" s="7" t="str">
        <f>IFERROR(VLOOKUP(D27,Table1[#All],2,0),"")</f>
        <v/>
      </c>
      <c r="F27" s="7"/>
      <c r="G27" t="s">
        <v>26</v>
      </c>
    </row>
    <row r="28" spans="2:7" x14ac:dyDescent="0.3">
      <c r="B28" s="8">
        <v>24</v>
      </c>
      <c r="C28" s="7"/>
      <c r="D28" s="7"/>
      <c r="E28" s="7" t="str">
        <f>IFERROR(VLOOKUP(D28,Table1[#All],2,0),"")</f>
        <v/>
      </c>
      <c r="F28" s="7"/>
      <c r="G28" t="s">
        <v>26</v>
      </c>
    </row>
    <row r="29" spans="2:7" x14ac:dyDescent="0.3">
      <c r="B29" s="8">
        <v>25</v>
      </c>
      <c r="C29" s="7"/>
      <c r="D29" s="7"/>
      <c r="E29" s="7" t="str">
        <f>IFERROR(VLOOKUP(D29,Table1[#All],2,0),"")</f>
        <v/>
      </c>
      <c r="F29" s="7"/>
      <c r="G29" t="s">
        <v>26</v>
      </c>
    </row>
  </sheetData>
  <dataValidations count="1">
    <dataValidation type="list" allowBlank="1" showInputMessage="1" showErrorMessage="1" sqref="G5:G29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D683069-2A18-4D58-AF32-2A833D64ED9D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1BD8172C-B508-4C24-BEC5-C810784AE9AE}">
          <x14:formula1>
            <xm:f>'Stock Barang'!$B$4:$B$11</xm:f>
          </x14:formula1>
          <xm:sqref>D5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DB87B-F02C-41BA-A196-5B8F96176BFB}">
  <dimension ref="A1"/>
  <sheetViews>
    <sheetView workbookViewId="0">
      <selection activeCell="G19" sqref="G19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Stock Barang</vt:lpstr>
      <vt:lpstr>Barang Masuk</vt:lpstr>
      <vt:lpstr>Barang Keluar 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2026-09-01T11:19:01Z</dcterms:modified>
</cp:coreProperties>
</file>